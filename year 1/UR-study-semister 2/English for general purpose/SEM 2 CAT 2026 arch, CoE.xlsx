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8775"/>
  </bookViews>
  <sheets>
    <sheet name="ARCH 1" sheetId="1" r:id="rId1"/>
    <sheet name="CoE 1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10" i="2" l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G11" i="2"/>
  <c r="I11" i="2" s="1"/>
  <c r="G12" i="2"/>
  <c r="I12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52" i="2"/>
  <c r="I52" i="2" s="1"/>
  <c r="G53" i="2"/>
  <c r="I53" i="2" s="1"/>
  <c r="G54" i="2"/>
  <c r="I54" i="2" s="1"/>
  <c r="G55" i="2"/>
  <c r="I55" i="2" s="1"/>
  <c r="G56" i="2"/>
  <c r="I56" i="2" s="1"/>
  <c r="G57" i="2"/>
  <c r="I57" i="2" s="1"/>
  <c r="G58" i="2"/>
  <c r="I58" i="2" s="1"/>
  <c r="G59" i="2"/>
  <c r="I59" i="2" s="1"/>
  <c r="G60" i="2"/>
  <c r="I60" i="2" s="1"/>
  <c r="G61" i="2"/>
  <c r="I61" i="2" s="1"/>
  <c r="G62" i="2"/>
  <c r="I62" i="2" s="1"/>
  <c r="G63" i="2"/>
  <c r="I63" i="2" s="1"/>
  <c r="G64" i="2"/>
  <c r="I64" i="2" s="1"/>
  <c r="G65" i="2"/>
  <c r="I65" i="2" s="1"/>
  <c r="G66" i="2"/>
  <c r="I66" i="2" s="1"/>
  <c r="G67" i="2"/>
  <c r="I67" i="2" s="1"/>
  <c r="G68" i="2"/>
  <c r="I68" i="2" s="1"/>
  <c r="G69" i="2"/>
  <c r="I69" i="2" s="1"/>
  <c r="G70" i="2"/>
  <c r="I70" i="2" s="1"/>
  <c r="G71" i="2"/>
  <c r="I71" i="2" s="1"/>
  <c r="G72" i="2"/>
  <c r="I72" i="2" s="1"/>
  <c r="G73" i="2"/>
  <c r="I73" i="2" s="1"/>
  <c r="G74" i="2"/>
  <c r="I74" i="2" s="1"/>
  <c r="G9" i="2"/>
  <c r="I9" i="2" s="1"/>
  <c r="J54" i="1" l="1"/>
  <c r="L54" i="1" s="1"/>
  <c r="J78" i="1"/>
  <c r="L78" i="1" s="1"/>
  <c r="J114" i="1"/>
  <c r="L114" i="1" s="1"/>
  <c r="J117" i="1"/>
  <c r="L117" i="1" s="1"/>
  <c r="J12" i="1"/>
  <c r="L12" i="1" s="1"/>
  <c r="J15" i="1"/>
  <c r="L15" i="1" s="1"/>
  <c r="J18" i="1"/>
  <c r="L18" i="1" s="1"/>
  <c r="J21" i="1"/>
  <c r="L21" i="1" s="1"/>
  <c r="J24" i="1"/>
  <c r="L24" i="1" s="1"/>
  <c r="J27" i="1"/>
  <c r="L27" i="1" s="1"/>
  <c r="J30" i="1"/>
  <c r="L30" i="1" s="1"/>
  <c r="J33" i="1"/>
  <c r="L33" i="1" s="1"/>
  <c r="J36" i="1"/>
  <c r="L36" i="1" s="1"/>
  <c r="J39" i="1"/>
  <c r="L39" i="1" s="1"/>
  <c r="J42" i="1"/>
  <c r="L42" i="1" s="1"/>
  <c r="J45" i="1"/>
  <c r="L45" i="1" s="1"/>
  <c r="J48" i="1"/>
  <c r="L48" i="1" s="1"/>
  <c r="J51" i="1"/>
  <c r="L51" i="1" s="1"/>
  <c r="J57" i="1"/>
  <c r="L57" i="1" s="1"/>
  <c r="J60" i="1"/>
  <c r="L60" i="1" s="1"/>
  <c r="J63" i="1"/>
  <c r="L63" i="1" s="1"/>
  <c r="J66" i="1"/>
  <c r="L66" i="1" s="1"/>
  <c r="J69" i="1"/>
  <c r="L69" i="1" s="1"/>
  <c r="J72" i="1"/>
  <c r="L72" i="1" s="1"/>
  <c r="J75" i="1"/>
  <c r="L75" i="1" s="1"/>
  <c r="J81" i="1"/>
  <c r="L81" i="1" s="1"/>
  <c r="J84" i="1"/>
  <c r="L84" i="1" s="1"/>
  <c r="J87" i="1"/>
  <c r="L87" i="1" s="1"/>
  <c r="J90" i="1"/>
  <c r="L90" i="1" s="1"/>
  <c r="J93" i="1"/>
  <c r="L93" i="1" s="1"/>
  <c r="J96" i="1"/>
  <c r="L96" i="1" s="1"/>
  <c r="J99" i="1"/>
  <c r="L99" i="1" s="1"/>
  <c r="J102" i="1"/>
  <c r="L102" i="1" s="1"/>
  <c r="J105" i="1"/>
  <c r="L105" i="1" s="1"/>
  <c r="J108" i="1"/>
  <c r="L108" i="1" s="1"/>
  <c r="J111" i="1"/>
  <c r="L111" i="1" s="1"/>
  <c r="J120" i="1"/>
  <c r="L120" i="1" s="1"/>
  <c r="J123" i="1"/>
  <c r="L123" i="1" s="1"/>
  <c r="J126" i="1"/>
  <c r="L126" i="1" s="1"/>
  <c r="J129" i="1"/>
  <c r="L129" i="1" s="1"/>
  <c r="J132" i="1"/>
  <c r="L132" i="1" s="1"/>
  <c r="J135" i="1"/>
  <c r="L135" i="1" s="1"/>
  <c r="J138" i="1"/>
  <c r="L138" i="1" s="1"/>
  <c r="J141" i="1"/>
  <c r="L141" i="1" s="1"/>
  <c r="J144" i="1"/>
  <c r="L144" i="1" s="1"/>
  <c r="J147" i="1"/>
  <c r="L147" i="1" s="1"/>
  <c r="J150" i="1"/>
  <c r="L150" i="1" s="1"/>
  <c r="J153" i="1"/>
  <c r="L153" i="1" s="1"/>
  <c r="J156" i="1"/>
  <c r="L156" i="1" s="1"/>
  <c r="J159" i="1"/>
  <c r="L159" i="1" s="1"/>
  <c r="J162" i="1"/>
  <c r="L162" i="1" s="1"/>
  <c r="J165" i="1"/>
  <c r="L165" i="1" s="1"/>
  <c r="J168" i="1"/>
  <c r="L168" i="1" s="1"/>
  <c r="J171" i="1"/>
  <c r="L171" i="1" s="1"/>
  <c r="J174" i="1"/>
  <c r="L174" i="1" s="1"/>
  <c r="J177" i="1"/>
  <c r="L177" i="1" s="1"/>
  <c r="J180" i="1"/>
  <c r="L180" i="1" s="1"/>
  <c r="J183" i="1"/>
  <c r="L183" i="1" s="1"/>
  <c r="J186" i="1"/>
  <c r="L186" i="1" s="1"/>
  <c r="J189" i="1"/>
  <c r="L189" i="1" s="1"/>
  <c r="J192" i="1"/>
  <c r="L192" i="1" s="1"/>
  <c r="J195" i="1"/>
  <c r="L195" i="1" s="1"/>
  <c r="J198" i="1"/>
  <c r="L198" i="1" s="1"/>
  <c r="J9" i="1"/>
  <c r="L9" i="1" s="1"/>
</calcChain>
</file>

<file path=xl/sharedStrings.xml><?xml version="1.0" encoding="utf-8"?>
<sst xmlns="http://schemas.openxmlformats.org/spreadsheetml/2006/main" count="224" uniqueCount="152">
  <si>
    <t>PROGRAMME : BACHELOR OF ARCHITECTURE (Hons)</t>
  </si>
  <si>
    <t>ACADEMIC YEAR 2025 - 2026</t>
  </si>
  <si>
    <t>CLASS LIST: YEAR 1</t>
  </si>
  <si>
    <t>Instructor BASHEIJA David</t>
  </si>
  <si>
    <t>Module Code:</t>
  </si>
  <si>
    <t>Module Title : ENGLISH FOR GENERAL PURPOSES</t>
  </si>
  <si>
    <t>SN</t>
  </si>
  <si>
    <t>Ref.No.</t>
  </si>
  <si>
    <t>Surname</t>
  </si>
  <si>
    <t>First name</t>
  </si>
  <si>
    <t>Sex</t>
  </si>
  <si>
    <t>ABAYO BYIRINGIRO</t>
  </si>
  <si>
    <t>HERVÉ</t>
  </si>
  <si>
    <t>M</t>
  </si>
  <si>
    <t>AGAPE</t>
  </si>
  <si>
    <t>KELVIN BELTRAND</t>
  </si>
  <si>
    <t>AKIMANA</t>
  </si>
  <si>
    <t>MOISE</t>
  </si>
  <si>
    <t>ASSMA</t>
  </si>
  <si>
    <t>MOHAMED ALTOUM MOHAMED</t>
  </si>
  <si>
    <t>F</t>
  </si>
  <si>
    <t>BIMENYIMANA</t>
  </si>
  <si>
    <t>DOMINIQUE SAVIO</t>
  </si>
  <si>
    <t>CYUSA</t>
  </si>
  <si>
    <t>SALIM</t>
  </si>
  <si>
    <t>CYUZUZO</t>
  </si>
  <si>
    <t>CLÉMENCE</t>
  </si>
  <si>
    <t>GASANA</t>
  </si>
  <si>
    <t>BYIZA JEAN TONNY</t>
  </si>
  <si>
    <t>GIHOZO</t>
  </si>
  <si>
    <t>SOLEIL</t>
  </si>
  <si>
    <t>IGIRANEZA</t>
  </si>
  <si>
    <t>PACIFIQUE PRINCE</t>
  </si>
  <si>
    <t>IMANZI NTIGANZWA</t>
  </si>
  <si>
    <t>BELL AUBIN</t>
  </si>
  <si>
    <t>IMPANO RUKUNDO</t>
  </si>
  <si>
    <t>JOSEPH</t>
  </si>
  <si>
    <t>INEZA</t>
  </si>
  <si>
    <t>EZER</t>
  </si>
  <si>
    <t>SOLANGE</t>
  </si>
  <si>
    <t>INKINDI AGAHOZO</t>
  </si>
  <si>
    <t>PETER PAOLA</t>
  </si>
  <si>
    <t>IRACYADUKUNDA</t>
  </si>
  <si>
    <t>FAÏDA MARIUS</t>
  </si>
  <si>
    <t>IRADUKUNDA</t>
  </si>
  <si>
    <t>SABIN</t>
  </si>
  <si>
    <t>IRAGUHA</t>
  </si>
  <si>
    <t>SIMON</t>
  </si>
  <si>
    <t>IRAKOZE</t>
  </si>
  <si>
    <t>KHESSY RHADIA</t>
  </si>
  <si>
    <t>PATRICK</t>
  </si>
  <si>
    <t>TONY VALENTIN</t>
  </si>
  <si>
    <t>IRASUBIZA MUGISHA</t>
  </si>
  <si>
    <t>SHALLOM</t>
  </si>
  <si>
    <t>ISHIMWE</t>
  </si>
  <si>
    <t>JEAN CLAUDE</t>
  </si>
  <si>
    <t>ISHIMWE GATALI</t>
  </si>
  <si>
    <t>LOUIS MARIE DE MONTFORT</t>
  </si>
  <si>
    <t>IZIGUHOZA</t>
  </si>
  <si>
    <t>DIVINE</t>
  </si>
  <si>
    <t>KAGABO</t>
  </si>
  <si>
    <t>JEAN ABIAS</t>
  </si>
  <si>
    <t>KAMIKAZI UTUJE</t>
  </si>
  <si>
    <t>AIMEE HELVINE</t>
  </si>
  <si>
    <t>KARASIRA</t>
  </si>
  <si>
    <t>HYGUETTE DOUCE</t>
  </si>
  <si>
    <t>KWIZERA</t>
  </si>
  <si>
    <t>LESLIE MORGANE</t>
  </si>
  <si>
    <t>KWIZERA NTWALI</t>
  </si>
  <si>
    <t>YVAN</t>
  </si>
  <si>
    <t>MASHIMWE MUTUYIMANA</t>
  </si>
  <si>
    <t>BREBIS</t>
  </si>
  <si>
    <t>MBERA MUCYO</t>
  </si>
  <si>
    <t>PRINCE</t>
  </si>
  <si>
    <t>MIGISHA</t>
  </si>
  <si>
    <t>NDICUNGUYE ELIE</t>
  </si>
  <si>
    <t>MUGABIRE</t>
  </si>
  <si>
    <t>MUGISHA</t>
  </si>
  <si>
    <t>ETIENNE</t>
  </si>
  <si>
    <t>MUGOREWASE</t>
  </si>
  <si>
    <t>RABIA</t>
  </si>
  <si>
    <t>MUHIRE</t>
  </si>
  <si>
    <t>KELLY</t>
  </si>
  <si>
    <t>MUKUNZI</t>
  </si>
  <si>
    <t>JEAN DE DIEU</t>
  </si>
  <si>
    <t>MUSONERA</t>
  </si>
  <si>
    <t>PAUL</t>
  </si>
  <si>
    <t>MUYANGO</t>
  </si>
  <si>
    <t>EMMY</t>
  </si>
  <si>
    <t>NAMAHIRWE</t>
  </si>
  <si>
    <t>ASSYNTHIE</t>
  </si>
  <si>
    <t>NAMUKUJIJE</t>
  </si>
  <si>
    <t>JEAN JULES</t>
  </si>
  <si>
    <t>NEZA</t>
  </si>
  <si>
    <t>KEN ROLANDO</t>
  </si>
  <si>
    <t>NISHIMWE</t>
  </si>
  <si>
    <t>BENIGNE</t>
  </si>
  <si>
    <t>NKURUNZIZA</t>
  </si>
  <si>
    <t>THIERRY</t>
  </si>
  <si>
    <t>NSENGIYUMVA</t>
  </si>
  <si>
    <t>AIME JULES</t>
  </si>
  <si>
    <t>NSHUTI</t>
  </si>
  <si>
    <t>DAVID</t>
  </si>
  <si>
    <t>SANTE REMY</t>
  </si>
  <si>
    <t>NZAYIKORERA</t>
  </si>
  <si>
    <t>JOSUE</t>
  </si>
  <si>
    <t>NZAYISENGA</t>
  </si>
  <si>
    <t>RODRIGUE</t>
  </si>
  <si>
    <t>OSMAN</t>
  </si>
  <si>
    <t>ABDALLAH SULIMAN ADAM</t>
  </si>
  <si>
    <t>SANGWA MAHORO</t>
  </si>
  <si>
    <t>LAURA</t>
  </si>
  <si>
    <t>SEBINEZA</t>
  </si>
  <si>
    <t>CARLOS</t>
  </si>
  <si>
    <t>TAM</t>
  </si>
  <si>
    <t>GUERSCHON</t>
  </si>
  <si>
    <t>TUMUKUNDE</t>
  </si>
  <si>
    <t>UWASE GISELE</t>
  </si>
  <si>
    <t>TUYISHIME</t>
  </si>
  <si>
    <t>AVE MARIA</t>
  </si>
  <si>
    <t>BENITHA</t>
  </si>
  <si>
    <t>TUYIZERE</t>
  </si>
  <si>
    <t>JEAN D'AMOUR</t>
  </si>
  <si>
    <t>UMUKUNDWA</t>
  </si>
  <si>
    <t>KEVINE</t>
  </si>
  <si>
    <t>UMURAZA</t>
  </si>
  <si>
    <t>KEZA BENIGNE</t>
  </si>
  <si>
    <t>UMUTONIWASE</t>
  </si>
  <si>
    <t>VANESSA</t>
  </si>
  <si>
    <t>UWAMAHORO</t>
  </si>
  <si>
    <t>UWIRAGIYE</t>
  </si>
  <si>
    <t>JANVIER</t>
  </si>
  <si>
    <t>ZAKIAH ELSADIQ</t>
  </si>
  <si>
    <t>ELSHMBATY EKLHALIFAH</t>
  </si>
  <si>
    <t>PRES/10</t>
  </si>
  <si>
    <t>QUIZ /12</t>
  </si>
  <si>
    <t>QUIZ/5</t>
  </si>
  <si>
    <t>QUIZ/12</t>
  </si>
  <si>
    <t>CAT/30</t>
  </si>
  <si>
    <t>TOT/20</t>
  </si>
  <si>
    <t>TOT/50</t>
  </si>
  <si>
    <t>Course Code:</t>
  </si>
  <si>
    <t>Module Name: ENGLISH FOR GENERAL PURPOSES</t>
  </si>
  <si>
    <t>QUIZ1/12</t>
  </si>
  <si>
    <t>QUIZ 2/5</t>
  </si>
  <si>
    <t>QUIZ 3/12</t>
  </si>
  <si>
    <t xml:space="preserve">COLLEGE OF SCIENCE AND TECHNOLOGY
</t>
  </si>
  <si>
    <t>SCHOOL OF INFORMATION TECHNOLOGY</t>
  </si>
  <si>
    <t>DEPARTMENT: COMPUTER ENGINEERING</t>
  </si>
  <si>
    <t>YEAR 1</t>
  </si>
  <si>
    <t>Academic Year: 2025-2026</t>
  </si>
  <si>
    <t>REG 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</si>
</sst>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0.0"/>
    <numFmt numFmtId="165" formatCode="0_);\(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charset val="134"/>
    </font>
    <font>
      <sz val="14"/>
      <color theme="1"/>
      <name val="Arial"/>
      <charset val="134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charset val="134"/>
    </font>
    <font>
      <b/>
      <sz val="12"/>
      <color rgb="FFF2F2F2"/>
      <name val="Arial"/>
      <charset val="134"/>
    </font>
    <font>
      <sz val="10"/>
      <name val="Arial"/>
      <charset val="134"/>
    </font>
    <font>
      <sz val="12"/>
      <name val="Arial"/>
      <family val="2"/>
    </font>
    <font>
      <sz val="11"/>
      <name val="Calibri"/>
      <charset val="134"/>
    </font>
    <font>
      <sz val="10"/>
      <color theme="1"/>
      <name val="Arial"/>
      <charset val="134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color rgb="FF000000"/>
      <name val="Arial"/>
      <family val="2"/>
    </font>
    <font>
      <sz val="11"/>
      <color theme="1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E75B5"/>
        <bgColor rgb="FF2E75B5"/>
      </patternFill>
    </fill>
    <fill>
      <patternFill patternType="solid">
        <fgColor theme="4" tint="0.39997558519241921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8" fillId="0" borderId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2" borderId="0" xfId="0" applyFont="1" applyFill="1"/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9" fillId="4" borderId="5" xfId="2" applyFont="1" applyFill="1" applyBorder="1" applyAlignment="1">
      <alignment horizontal="center" vertical="center" textRotation="90" wrapText="1"/>
    </xf>
    <xf numFmtId="0" fontId="9" fillId="4" borderId="5" xfId="2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0" xfId="0" applyFont="1"/>
    <xf numFmtId="0" fontId="6" fillId="0" borderId="0" xfId="0" applyFont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12" fillId="0" borderId="8" xfId="2" applyFont="1" applyBorder="1" applyAlignment="1">
      <alignment horizontal="center"/>
    </xf>
    <xf numFmtId="0" fontId="12" fillId="0" borderId="8" xfId="2" applyFont="1" applyBorder="1"/>
    <xf numFmtId="164" fontId="4" fillId="0" borderId="4" xfId="0" applyNumberFormat="1" applyFont="1" applyBorder="1" applyAlignment="1">
      <alignment horizontal="center" wrapText="1"/>
    </xf>
    <xf numFmtId="165" fontId="12" fillId="0" borderId="5" xfId="1" applyNumberFormat="1" applyFont="1" applyFill="1" applyBorder="1"/>
    <xf numFmtId="0" fontId="13" fillId="0" borderId="5" xfId="0" applyFont="1" applyBorder="1" applyAlignment="1">
      <alignment vertical="center"/>
    </xf>
    <xf numFmtId="164" fontId="4" fillId="0" borderId="10" xfId="0" applyNumberFormat="1" applyFont="1" applyBorder="1" applyAlignment="1">
      <alignment horizontal="center" wrapText="1"/>
    </xf>
    <xf numFmtId="0" fontId="4" fillId="0" borderId="11" xfId="0" applyFont="1" applyBorder="1" applyAlignment="1">
      <alignment horizontal="left" vertical="center" wrapText="1"/>
    </xf>
    <xf numFmtId="164" fontId="4" fillId="0" borderId="12" xfId="0" applyNumberFormat="1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wrapText="1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wrapText="1"/>
    </xf>
    <xf numFmtId="16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12" fillId="0" borderId="5" xfId="2" applyFont="1" applyBorder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0" fontId="12" fillId="0" borderId="16" xfId="2" applyFont="1" applyBorder="1"/>
    <xf numFmtId="0" fontId="0" fillId="0" borderId="5" xfId="0" applyBorder="1"/>
    <xf numFmtId="0" fontId="12" fillId="0" borderId="17" xfId="2" applyFont="1" applyBorder="1" applyAlignment="1">
      <alignment horizontal="center"/>
    </xf>
    <xf numFmtId="0" fontId="4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165" fontId="12" fillId="0" borderId="5" xfId="1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5" fontId="12" fillId="0" borderId="9" xfId="1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9" fillId="4" borderId="9" xfId="2" applyFont="1" applyFill="1" applyBorder="1" applyAlignment="1">
      <alignment horizontal="center" vertical="center" textRotation="90" wrapText="1"/>
    </xf>
    <xf numFmtId="0" fontId="9" fillId="4" borderId="9" xfId="2" applyFont="1" applyFill="1" applyBorder="1" applyAlignment="1">
      <alignment horizontal="center" vertical="center" wrapText="1"/>
    </xf>
    <xf numFmtId="0" fontId="12" fillId="0" borderId="19" xfId="2" applyFont="1" applyBorder="1" applyAlignment="1">
      <alignment horizontal="center"/>
    </xf>
    <xf numFmtId="0" fontId="9" fillId="4" borderId="17" xfId="2" applyFont="1" applyFill="1" applyBorder="1" applyAlignment="1">
      <alignment horizontal="center" vertical="center" textRotation="90" wrapText="1"/>
    </xf>
    <xf numFmtId="0" fontId="9" fillId="4" borderId="17" xfId="2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164" fontId="4" fillId="0" borderId="17" xfId="0" applyNumberFormat="1" applyFont="1" applyBorder="1" applyAlignment="1">
      <alignment horizontal="center" wrapText="1"/>
    </xf>
    <xf numFmtId="164" fontId="13" fillId="0" borderId="10" xfId="0" applyNumberFormat="1" applyFont="1" applyBorder="1" applyAlignment="1">
      <alignment horizontal="center"/>
    </xf>
    <xf numFmtId="165" fontId="12" fillId="0" borderId="17" xfId="1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4" fillId="5" borderId="17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4" fillId="0" borderId="0" xfId="2" applyFont="1" applyAlignment="1">
      <alignment horizontal="center"/>
    </xf>
    <xf numFmtId="0" fontId="14" fillId="0" borderId="0" xfId="2" applyFont="1" applyAlignment="1">
      <alignment horizontal="left"/>
    </xf>
    <xf numFmtId="0" fontId="14" fillId="0" borderId="0" xfId="2" applyFont="1"/>
    <xf numFmtId="0" fontId="15" fillId="0" borderId="0" xfId="2" applyFont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right"/>
    </xf>
    <xf numFmtId="0" fontId="15" fillId="6" borderId="0" xfId="2" applyFont="1" applyFill="1" applyAlignment="1">
      <alignment horizontal="left"/>
    </xf>
    <xf numFmtId="0" fontId="15" fillId="7" borderId="0" xfId="2" applyFont="1" applyFill="1" applyAlignment="1">
      <alignment horizontal="left"/>
    </xf>
    <xf numFmtId="0" fontId="15" fillId="0" borderId="0" xfId="2" applyFont="1" applyAlignment="1">
      <alignment horizontal="center"/>
    </xf>
    <xf numFmtId="0" fontId="15" fillId="0" borderId="20" xfId="2" applyFont="1" applyBorder="1" applyAlignment="1">
      <alignment horizontal="left"/>
    </xf>
    <xf numFmtId="0" fontId="16" fillId="0" borderId="5" xfId="0" applyFont="1" applyBorder="1" applyAlignment="1">
      <alignment vertical="center"/>
    </xf>
    <xf numFmtId="0" fontId="5" fillId="0" borderId="5" xfId="0" applyFont="1" applyBorder="1"/>
    <xf numFmtId="165" fontId="15" fillId="7" borderId="5" xfId="1" applyNumberFormat="1" applyFont="1" applyFill="1" applyBorder="1"/>
    <xf numFmtId="165" fontId="15" fillId="0" borderId="5" xfId="1" applyNumberFormat="1" applyFont="1" applyBorder="1"/>
    <xf numFmtId="0" fontId="16" fillId="0" borderId="5" xfId="0" applyFont="1" applyFill="1" applyBorder="1" applyAlignment="1">
      <alignment vertical="center"/>
    </xf>
    <xf numFmtId="0" fontId="5" fillId="0" borderId="5" xfId="0" applyFont="1" applyFill="1" applyBorder="1"/>
    <xf numFmtId="164" fontId="5" fillId="0" borderId="5" xfId="0" applyNumberFormat="1" applyFont="1" applyFill="1" applyBorder="1"/>
    <xf numFmtId="0" fontId="14" fillId="0" borderId="0" xfId="2" applyFont="1" applyAlignment="1">
      <alignment vertical="center"/>
    </xf>
    <xf numFmtId="0" fontId="15" fillId="0" borderId="5" xfId="2" applyFont="1" applyBorder="1" applyAlignment="1">
      <alignment horizontal="left"/>
    </xf>
    <xf numFmtId="0" fontId="17" fillId="0" borderId="5" xfId="0" applyFont="1" applyBorder="1"/>
    <xf numFmtId="0" fontId="4" fillId="0" borderId="18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10" fillId="0" borderId="0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10" fillId="0" borderId="6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10" fillId="0" borderId="3" xfId="0" applyFont="1" applyBorder="1"/>
  </cellXfs>
  <cellStyles count="3">
    <cellStyle name="Currency" xfId="1" builtinId="4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96078</xdr:colOff>
      <xdr:row>0</xdr:row>
      <xdr:rowOff>0</xdr:rowOff>
    </xdr:from>
    <xdr:to>
      <xdr:col>11</xdr:col>
      <xdr:colOff>341611</xdr:colOff>
      <xdr:row>2</xdr:row>
      <xdr:rowOff>227680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xmlns="" id="{0E61FDDA-1ADB-48AB-A5A9-DC86772E8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448" y="0"/>
          <a:ext cx="2084272" cy="9234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I6" sqref="I6"/>
    </sheetView>
  </sheetViews>
  <sheetFormatPr defaultRowHeight="15"/>
  <cols>
    <col min="2" max="2" width="13.85546875" customWidth="1"/>
    <col min="3" max="3" width="22.28515625" customWidth="1"/>
    <col min="4" max="4" width="11.5703125" customWidth="1"/>
  </cols>
  <sheetData>
    <row r="1" spans="1:15" ht="18">
      <c r="A1" s="1" t="s">
        <v>0</v>
      </c>
      <c r="B1" s="2"/>
      <c r="C1" s="1"/>
      <c r="D1" s="1"/>
      <c r="E1" s="3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8">
      <c r="A2" s="1" t="s">
        <v>1</v>
      </c>
      <c r="B2" s="2"/>
      <c r="C2" s="1"/>
      <c r="D2" s="1"/>
      <c r="E2" s="3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>
      <c r="A3" s="1" t="s">
        <v>2</v>
      </c>
      <c r="B3" s="2"/>
      <c r="C3" s="1"/>
      <c r="D3" s="1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">
      <c r="A4" s="5" t="s">
        <v>3</v>
      </c>
      <c r="B4" s="4"/>
      <c r="C4" s="6"/>
      <c r="D4" s="7" t="s">
        <v>4</v>
      </c>
      <c r="E4" s="8"/>
      <c r="F4" s="9" t="s">
        <v>5</v>
      </c>
      <c r="N4" s="4"/>
      <c r="O4" s="4"/>
    </row>
    <row r="5" spans="1: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ht="33">
      <c r="A6" s="87" t="s">
        <v>6</v>
      </c>
      <c r="B6" s="87" t="s">
        <v>7</v>
      </c>
      <c r="C6" s="87" t="s">
        <v>8</v>
      </c>
      <c r="D6" s="89" t="s">
        <v>9</v>
      </c>
      <c r="E6" s="91" t="s">
        <v>10</v>
      </c>
      <c r="F6" s="11" t="s">
        <v>134</v>
      </c>
      <c r="G6" s="11" t="s">
        <v>135</v>
      </c>
      <c r="H6" s="50" t="s">
        <v>136</v>
      </c>
      <c r="I6" s="11" t="s">
        <v>137</v>
      </c>
      <c r="J6" s="37" t="s">
        <v>139</v>
      </c>
      <c r="K6" s="53" t="s">
        <v>138</v>
      </c>
      <c r="L6" s="11" t="s">
        <v>140</v>
      </c>
      <c r="M6" s="11"/>
      <c r="N6" s="11"/>
      <c r="O6" s="11"/>
    </row>
    <row r="7" spans="1:15">
      <c r="A7" s="88"/>
      <c r="B7" s="88"/>
      <c r="C7" s="88"/>
      <c r="D7" s="90"/>
      <c r="E7" s="92"/>
      <c r="F7" s="12"/>
      <c r="G7" s="12"/>
      <c r="H7" s="51"/>
      <c r="I7" s="12"/>
      <c r="J7" s="37"/>
      <c r="K7" s="54"/>
      <c r="L7" s="12"/>
      <c r="M7" s="12"/>
      <c r="N7" s="12"/>
      <c r="O7" s="12"/>
    </row>
    <row r="8" spans="1:15" ht="15.75" thickBot="1">
      <c r="A8" s="13"/>
      <c r="B8" s="14"/>
      <c r="C8" s="14"/>
      <c r="D8" s="14"/>
      <c r="E8" s="13"/>
      <c r="F8" s="15"/>
      <c r="G8" s="15"/>
      <c r="H8" s="15"/>
      <c r="I8" s="59"/>
      <c r="J8" s="37"/>
      <c r="K8" s="15"/>
      <c r="L8" s="15"/>
      <c r="M8" s="15"/>
      <c r="N8" s="15"/>
      <c r="O8" s="15"/>
    </row>
    <row r="9" spans="1:15" ht="15.75">
      <c r="A9" s="16">
        <v>1</v>
      </c>
      <c r="B9" s="17">
        <v>225058475</v>
      </c>
      <c r="C9" s="18" t="s">
        <v>11</v>
      </c>
      <c r="D9" s="18" t="s">
        <v>12</v>
      </c>
      <c r="E9" s="17" t="s">
        <v>13</v>
      </c>
      <c r="F9" s="19">
        <v>8.1999999999999993</v>
      </c>
      <c r="G9" s="47">
        <v>11</v>
      </c>
      <c r="H9" s="44">
        <v>5</v>
      </c>
      <c r="I9" s="43">
        <v>12</v>
      </c>
      <c r="J9" s="61">
        <f>(F9+G9+H9+I9)*20/39</f>
        <v>18.564102564102566</v>
      </c>
      <c r="K9" s="55">
        <v>24.8</v>
      </c>
      <c r="L9" s="20">
        <f>J9+K9</f>
        <v>43.364102564102566</v>
      </c>
      <c r="M9" s="21"/>
      <c r="N9" s="22"/>
      <c r="O9" s="19"/>
    </row>
    <row r="10" spans="1:15" ht="15.75">
      <c r="A10" s="23"/>
      <c r="B10" s="17"/>
      <c r="C10" s="18"/>
      <c r="D10" s="18"/>
      <c r="E10" s="17"/>
      <c r="F10" s="19"/>
      <c r="G10" s="47"/>
      <c r="H10" s="24"/>
      <c r="I10" s="25"/>
      <c r="J10" s="61"/>
      <c r="K10" s="56"/>
      <c r="L10" s="20"/>
      <c r="M10" s="21"/>
      <c r="N10" s="22"/>
      <c r="O10" s="19"/>
    </row>
    <row r="11" spans="1:15" ht="15.75">
      <c r="A11" s="26"/>
      <c r="B11" s="17"/>
      <c r="C11" s="18"/>
      <c r="D11" s="18"/>
      <c r="E11" s="17"/>
      <c r="F11" s="19"/>
      <c r="G11" s="47"/>
      <c r="H11" s="24"/>
      <c r="I11" s="25"/>
      <c r="J11" s="61"/>
      <c r="K11" s="56"/>
      <c r="L11" s="20"/>
      <c r="M11" s="21"/>
      <c r="N11" s="22"/>
      <c r="O11" s="19"/>
    </row>
    <row r="12" spans="1:15" ht="15.75">
      <c r="A12" s="27">
        <v>2</v>
      </c>
      <c r="B12" s="28">
        <v>225037579</v>
      </c>
      <c r="C12" s="29" t="s">
        <v>14</v>
      </c>
      <c r="D12" s="26" t="s">
        <v>15</v>
      </c>
      <c r="E12" s="17" t="s">
        <v>13</v>
      </c>
      <c r="F12" s="17">
        <v>8.3000000000000007</v>
      </c>
      <c r="G12" s="47">
        <v>11</v>
      </c>
      <c r="H12" s="86">
        <v>4</v>
      </c>
      <c r="I12" s="25">
        <v>6</v>
      </c>
      <c r="J12" s="61">
        <f t="shared" ref="J12:J72" si="0">(F12+G12+H12+I12)*20/39</f>
        <v>15.025641025641026</v>
      </c>
      <c r="K12" s="57">
        <v>18.2</v>
      </c>
      <c r="L12" s="20">
        <f t="shared" ref="L12:L72" si="1">J12+K12</f>
        <v>33.225641025641025</v>
      </c>
      <c r="M12" s="25"/>
      <c r="N12" s="21"/>
      <c r="O12" s="25"/>
    </row>
    <row r="13" spans="1:15" ht="15.75">
      <c r="A13" s="23"/>
      <c r="B13" s="28"/>
      <c r="C13" s="29"/>
      <c r="D13" s="29"/>
      <c r="E13" s="28"/>
      <c r="F13" s="19"/>
      <c r="G13" s="47"/>
      <c r="H13" s="24"/>
      <c r="I13" s="25"/>
      <c r="J13" s="61"/>
      <c r="K13" s="56"/>
      <c r="L13" s="20"/>
      <c r="M13" s="21"/>
      <c r="N13" s="22"/>
      <c r="O13" s="30"/>
    </row>
    <row r="14" spans="1:15" ht="15.75">
      <c r="A14" s="26"/>
      <c r="B14" s="28"/>
      <c r="C14" s="29"/>
      <c r="D14" s="29"/>
      <c r="E14" s="28"/>
      <c r="F14" s="19"/>
      <c r="G14" s="47"/>
      <c r="H14" s="24"/>
      <c r="I14" s="25"/>
      <c r="J14" s="61"/>
      <c r="K14" s="56"/>
      <c r="L14" s="20"/>
      <c r="M14" s="21"/>
      <c r="N14" s="22"/>
      <c r="O14" s="30"/>
    </row>
    <row r="15" spans="1:15" ht="15.75">
      <c r="A15" s="27">
        <v>3</v>
      </c>
      <c r="B15" s="17">
        <v>225070016</v>
      </c>
      <c r="C15" s="18" t="s">
        <v>16</v>
      </c>
      <c r="D15" s="18" t="s">
        <v>17</v>
      </c>
      <c r="E15" s="17" t="s">
        <v>13</v>
      </c>
      <c r="F15" s="31">
        <v>8.3000000000000007</v>
      </c>
      <c r="G15" s="47"/>
      <c r="H15" s="44"/>
      <c r="I15" s="41">
        <v>12</v>
      </c>
      <c r="J15" s="61">
        <f t="shared" si="0"/>
        <v>10.410256410256411</v>
      </c>
      <c r="K15" s="58">
        <v>21</v>
      </c>
      <c r="L15" s="20">
        <f t="shared" si="1"/>
        <v>31.410256410256409</v>
      </c>
      <c r="M15" s="21"/>
      <c r="N15" s="22"/>
      <c r="O15" s="32"/>
    </row>
    <row r="16" spans="1:15" ht="15.75">
      <c r="A16" s="23"/>
      <c r="B16" s="17"/>
      <c r="C16" s="18"/>
      <c r="D16" s="18"/>
      <c r="E16" s="17"/>
      <c r="F16" s="31"/>
      <c r="G16" s="47"/>
      <c r="H16" s="24"/>
      <c r="I16" s="25"/>
      <c r="J16" s="61"/>
      <c r="K16" s="56"/>
      <c r="L16" s="20"/>
      <c r="M16" s="21"/>
      <c r="N16" s="22"/>
      <c r="O16" s="32"/>
    </row>
    <row r="17" spans="1:15" ht="15.75">
      <c r="A17" s="26"/>
      <c r="B17" s="17"/>
      <c r="C17" s="18"/>
      <c r="D17" s="18"/>
      <c r="E17" s="17"/>
      <c r="F17" s="31"/>
      <c r="G17" s="47"/>
      <c r="H17" s="24"/>
      <c r="I17" s="25"/>
      <c r="J17" s="61"/>
      <c r="K17" s="56"/>
      <c r="L17" s="20"/>
      <c r="M17" s="21"/>
      <c r="N17" s="22"/>
      <c r="O17" s="32"/>
    </row>
    <row r="18" spans="1:15" ht="15.75">
      <c r="A18" s="27">
        <v>4</v>
      </c>
      <c r="B18" s="17">
        <v>225050477</v>
      </c>
      <c r="C18" s="18" t="s">
        <v>18</v>
      </c>
      <c r="D18" s="18" t="s">
        <v>19</v>
      </c>
      <c r="E18" s="17" t="s">
        <v>20</v>
      </c>
      <c r="F18" s="31">
        <v>8.1</v>
      </c>
      <c r="G18" s="47"/>
      <c r="H18" s="44"/>
      <c r="I18" s="41">
        <v>12</v>
      </c>
      <c r="J18" s="61">
        <f t="shared" si="0"/>
        <v>10.307692307692308</v>
      </c>
      <c r="K18" s="58">
        <v>13.3</v>
      </c>
      <c r="L18" s="20">
        <f t="shared" si="1"/>
        <v>23.607692307692311</v>
      </c>
      <c r="M18" s="21"/>
      <c r="N18" s="22"/>
      <c r="O18" s="32"/>
    </row>
    <row r="19" spans="1:15" ht="15.75">
      <c r="A19" s="23"/>
      <c r="B19" s="28"/>
      <c r="C19" s="29"/>
      <c r="D19" s="29"/>
      <c r="E19" s="28"/>
      <c r="F19" s="19"/>
      <c r="G19" s="47"/>
      <c r="H19" s="24"/>
      <c r="I19" s="25"/>
      <c r="J19" s="61"/>
      <c r="K19" s="56"/>
      <c r="L19" s="20"/>
      <c r="M19" s="21"/>
      <c r="N19" s="22"/>
      <c r="O19" s="19"/>
    </row>
    <row r="20" spans="1:15" ht="15.75">
      <c r="A20" s="26"/>
      <c r="B20" s="28"/>
      <c r="C20" s="29"/>
      <c r="D20" s="29"/>
      <c r="E20" s="28"/>
      <c r="F20" s="19"/>
      <c r="G20" s="47"/>
      <c r="H20" s="24"/>
      <c r="I20" s="25"/>
      <c r="J20" s="61"/>
      <c r="K20" s="56"/>
      <c r="L20" s="20"/>
      <c r="M20" s="21"/>
      <c r="N20" s="22"/>
      <c r="O20" s="19"/>
    </row>
    <row r="21" spans="1:15" ht="15.75">
      <c r="A21" s="27">
        <v>5</v>
      </c>
      <c r="B21" s="17">
        <v>225057050</v>
      </c>
      <c r="C21" s="18" t="s">
        <v>21</v>
      </c>
      <c r="D21" s="18" t="s">
        <v>22</v>
      </c>
      <c r="E21" s="17" t="s">
        <v>13</v>
      </c>
      <c r="F21" s="19">
        <v>8.3000000000000007</v>
      </c>
      <c r="G21" s="47">
        <v>11</v>
      </c>
      <c r="H21" s="44">
        <v>5</v>
      </c>
      <c r="I21" s="43">
        <v>12</v>
      </c>
      <c r="J21" s="61">
        <f t="shared" si="0"/>
        <v>18.615384615384617</v>
      </c>
      <c r="K21" s="55">
        <v>14.6</v>
      </c>
      <c r="L21" s="20">
        <f t="shared" si="1"/>
        <v>33.215384615384615</v>
      </c>
      <c r="M21" s="21"/>
      <c r="N21" s="22"/>
      <c r="O21" s="30"/>
    </row>
    <row r="22" spans="1:15" ht="15.75">
      <c r="A22" s="23"/>
      <c r="B22" s="17"/>
      <c r="C22" s="18"/>
      <c r="D22" s="18"/>
      <c r="E22" s="17"/>
      <c r="F22" s="19"/>
      <c r="G22" s="47"/>
      <c r="H22" s="24"/>
      <c r="I22" s="25"/>
      <c r="J22" s="61"/>
      <c r="K22" s="56"/>
      <c r="L22" s="20"/>
      <c r="M22" s="21"/>
      <c r="N22" s="22"/>
      <c r="O22" s="30"/>
    </row>
    <row r="23" spans="1:15" ht="15.75">
      <c r="A23" s="27"/>
      <c r="B23" s="17"/>
      <c r="C23" s="18"/>
      <c r="D23" s="18"/>
      <c r="E23" s="17"/>
      <c r="F23" s="19"/>
      <c r="G23" s="47"/>
      <c r="H23" s="44"/>
      <c r="I23" s="43"/>
      <c r="J23" s="61"/>
      <c r="K23" s="55"/>
      <c r="L23" s="20"/>
      <c r="M23" s="21"/>
      <c r="N23" s="22"/>
      <c r="O23" s="30"/>
    </row>
    <row r="24" spans="1:15" ht="15.75">
      <c r="A24" s="27">
        <v>6</v>
      </c>
      <c r="B24" s="17">
        <v>225032062</v>
      </c>
      <c r="C24" s="18" t="s">
        <v>23</v>
      </c>
      <c r="D24" s="18" t="s">
        <v>24</v>
      </c>
      <c r="E24" s="17" t="s">
        <v>13</v>
      </c>
      <c r="F24" s="19">
        <v>7.2</v>
      </c>
      <c r="G24" s="47"/>
      <c r="H24" s="44"/>
      <c r="I24" s="43">
        <v>12</v>
      </c>
      <c r="J24" s="61">
        <f t="shared" si="0"/>
        <v>9.8461538461538467</v>
      </c>
      <c r="K24" s="55">
        <v>20.3</v>
      </c>
      <c r="L24" s="20">
        <f t="shared" si="1"/>
        <v>30.146153846153847</v>
      </c>
      <c r="M24" s="21"/>
      <c r="N24" s="22"/>
      <c r="O24" s="30"/>
    </row>
    <row r="25" spans="1:15" ht="15.75">
      <c r="A25" s="27"/>
      <c r="B25" s="17"/>
      <c r="C25" s="18"/>
      <c r="D25" s="18"/>
      <c r="E25" s="17"/>
      <c r="F25" s="19"/>
      <c r="G25" s="47"/>
      <c r="H25" s="44"/>
      <c r="I25" s="43"/>
      <c r="J25" s="61"/>
      <c r="K25" s="55"/>
      <c r="L25" s="20"/>
      <c r="M25" s="21"/>
      <c r="N25" s="22"/>
      <c r="O25" s="30"/>
    </row>
    <row r="26" spans="1:15" ht="15.75">
      <c r="A26" s="27"/>
      <c r="B26" s="17"/>
      <c r="C26" s="18"/>
      <c r="D26" s="18"/>
      <c r="E26" s="17"/>
      <c r="F26" s="19"/>
      <c r="G26" s="47"/>
      <c r="H26" s="44"/>
      <c r="I26" s="43"/>
      <c r="J26" s="61"/>
      <c r="K26" s="55"/>
      <c r="L26" s="20"/>
      <c r="M26" s="21"/>
      <c r="N26" s="22"/>
      <c r="O26" s="30"/>
    </row>
    <row r="27" spans="1:15" ht="15.75">
      <c r="A27" s="27">
        <v>7</v>
      </c>
      <c r="B27" s="17">
        <v>225031397</v>
      </c>
      <c r="C27" s="18" t="s">
        <v>25</v>
      </c>
      <c r="D27" s="18" t="s">
        <v>26</v>
      </c>
      <c r="E27" s="17" t="s">
        <v>20</v>
      </c>
      <c r="F27" s="19">
        <v>8.5</v>
      </c>
      <c r="G27" s="47"/>
      <c r="H27" s="44"/>
      <c r="I27" s="43">
        <v>12</v>
      </c>
      <c r="J27" s="61">
        <f t="shared" si="0"/>
        <v>10.512820512820513</v>
      </c>
      <c r="K27" s="55">
        <v>25.7</v>
      </c>
      <c r="L27" s="20">
        <f t="shared" si="1"/>
        <v>36.212820512820514</v>
      </c>
      <c r="M27" s="21"/>
      <c r="N27" s="22"/>
      <c r="O27" s="30"/>
    </row>
    <row r="28" spans="1:15" ht="15.75">
      <c r="A28" s="27"/>
      <c r="B28" s="17"/>
      <c r="C28" s="18"/>
      <c r="D28" s="18"/>
      <c r="E28" s="17"/>
      <c r="F28" s="19"/>
      <c r="G28" s="47"/>
      <c r="H28" s="44"/>
      <c r="I28" s="43"/>
      <c r="J28" s="61"/>
      <c r="K28" s="55"/>
      <c r="L28" s="20"/>
      <c r="M28" s="21"/>
      <c r="N28" s="22"/>
      <c r="O28" s="30"/>
    </row>
    <row r="29" spans="1:15" ht="15.75">
      <c r="A29" s="27"/>
      <c r="B29" s="17"/>
      <c r="C29" s="18"/>
      <c r="D29" s="18"/>
      <c r="E29" s="17"/>
      <c r="F29" s="19"/>
      <c r="G29" s="47"/>
      <c r="H29" s="44"/>
      <c r="I29" s="43"/>
      <c r="J29" s="61"/>
      <c r="K29" s="55"/>
      <c r="L29" s="20"/>
      <c r="M29" s="21"/>
      <c r="N29" s="22"/>
      <c r="O29" s="30"/>
    </row>
    <row r="30" spans="1:15" ht="15.75">
      <c r="A30" s="27">
        <v>8</v>
      </c>
      <c r="B30" s="17">
        <v>225034487</v>
      </c>
      <c r="C30" s="18" t="s">
        <v>27</v>
      </c>
      <c r="D30" s="18" t="s">
        <v>28</v>
      </c>
      <c r="E30" s="17" t="s">
        <v>13</v>
      </c>
      <c r="F30" s="19">
        <v>8</v>
      </c>
      <c r="G30" s="47">
        <v>10</v>
      </c>
      <c r="H30" s="44">
        <v>4.5</v>
      </c>
      <c r="I30" s="43">
        <v>12</v>
      </c>
      <c r="J30" s="61">
        <f t="shared" si="0"/>
        <v>17.692307692307693</v>
      </c>
      <c r="K30" s="55">
        <v>14.2</v>
      </c>
      <c r="L30" s="20">
        <f t="shared" si="1"/>
        <v>31.892307692307693</v>
      </c>
      <c r="M30" s="21"/>
      <c r="N30" s="22"/>
      <c r="O30" s="30"/>
    </row>
    <row r="31" spans="1:15" ht="15.75">
      <c r="A31" s="27"/>
      <c r="B31" s="17"/>
      <c r="C31" s="18"/>
      <c r="D31" s="18"/>
      <c r="E31" s="17"/>
      <c r="F31" s="19"/>
      <c r="G31" s="47"/>
      <c r="H31" s="44"/>
      <c r="I31" s="43"/>
      <c r="J31" s="61"/>
      <c r="K31" s="55"/>
      <c r="L31" s="20"/>
      <c r="M31" s="21"/>
      <c r="N31" s="22"/>
      <c r="O31" s="30"/>
    </row>
    <row r="32" spans="1:15" ht="15.75">
      <c r="A32" s="27"/>
      <c r="B32" s="17"/>
      <c r="C32" s="18"/>
      <c r="D32" s="18"/>
      <c r="E32" s="17"/>
      <c r="F32" s="19"/>
      <c r="G32" s="47"/>
      <c r="H32" s="44"/>
      <c r="I32" s="43"/>
      <c r="J32" s="61"/>
      <c r="K32" s="55"/>
      <c r="L32" s="20"/>
      <c r="M32" s="21"/>
      <c r="N32" s="22"/>
      <c r="O32" s="30"/>
    </row>
    <row r="33" spans="1:15" ht="15.75">
      <c r="A33" s="27">
        <v>9</v>
      </c>
      <c r="B33" s="17">
        <v>225036994</v>
      </c>
      <c r="C33" s="18" t="s">
        <v>29</v>
      </c>
      <c r="D33" s="18" t="s">
        <v>30</v>
      </c>
      <c r="E33" s="17" t="s">
        <v>20</v>
      </c>
      <c r="F33" s="19"/>
      <c r="G33" s="47"/>
      <c r="H33" s="44"/>
      <c r="I33" s="43">
        <v>12</v>
      </c>
      <c r="J33" s="61">
        <f t="shared" si="0"/>
        <v>6.1538461538461542</v>
      </c>
      <c r="K33" s="55">
        <v>25</v>
      </c>
      <c r="L33" s="20">
        <f t="shared" si="1"/>
        <v>31.153846153846153</v>
      </c>
      <c r="M33" s="21"/>
      <c r="N33" s="22"/>
      <c r="O33" s="30"/>
    </row>
    <row r="34" spans="1:15" ht="15.75">
      <c r="A34" s="27"/>
      <c r="B34" s="17"/>
      <c r="C34" s="18"/>
      <c r="D34" s="18"/>
      <c r="E34" s="17"/>
      <c r="F34" s="19"/>
      <c r="G34" s="47"/>
      <c r="H34" s="44"/>
      <c r="I34" s="43"/>
      <c r="J34" s="61"/>
      <c r="K34" s="55"/>
      <c r="L34" s="20"/>
      <c r="M34" s="21"/>
      <c r="N34" s="22"/>
      <c r="O34" s="30"/>
    </row>
    <row r="35" spans="1:15" ht="15.75">
      <c r="A35" s="27"/>
      <c r="B35" s="17"/>
      <c r="C35" s="18"/>
      <c r="D35" s="18"/>
      <c r="E35" s="17"/>
      <c r="F35" s="19"/>
      <c r="G35" s="47"/>
      <c r="H35" s="44"/>
      <c r="I35" s="43"/>
      <c r="J35" s="61"/>
      <c r="K35" s="55"/>
      <c r="L35" s="20"/>
      <c r="M35" s="21"/>
      <c r="N35" s="22"/>
      <c r="O35" s="30"/>
    </row>
    <row r="36" spans="1:15" ht="15.75">
      <c r="A36" s="27">
        <v>10</v>
      </c>
      <c r="B36" s="17">
        <v>225056593</v>
      </c>
      <c r="C36" s="18" t="s">
        <v>31</v>
      </c>
      <c r="D36" s="18" t="s">
        <v>32</v>
      </c>
      <c r="E36" s="17" t="s">
        <v>13</v>
      </c>
      <c r="F36" s="19">
        <v>7.8</v>
      </c>
      <c r="G36" s="47">
        <v>6</v>
      </c>
      <c r="H36" s="44">
        <v>3</v>
      </c>
      <c r="I36" s="43">
        <v>12</v>
      </c>
      <c r="J36" s="61">
        <f t="shared" si="0"/>
        <v>14.76923076923077</v>
      </c>
      <c r="K36" s="55">
        <v>24.2</v>
      </c>
      <c r="L36" s="20">
        <f t="shared" si="1"/>
        <v>38.969230769230769</v>
      </c>
      <c r="M36" s="21"/>
      <c r="N36" s="22"/>
      <c r="O36" s="30"/>
    </row>
    <row r="37" spans="1:15" ht="15.75">
      <c r="A37" s="27"/>
      <c r="B37" s="17"/>
      <c r="C37" s="18"/>
      <c r="D37" s="18"/>
      <c r="E37" s="17"/>
      <c r="F37" s="19"/>
      <c r="G37" s="47"/>
      <c r="H37" s="44"/>
      <c r="I37" s="43"/>
      <c r="J37" s="61"/>
      <c r="K37" s="55"/>
      <c r="L37" s="20"/>
      <c r="M37" s="21"/>
      <c r="N37" s="22"/>
      <c r="O37" s="30"/>
    </row>
    <row r="38" spans="1:15" ht="15.75">
      <c r="A38" s="27"/>
      <c r="B38" s="17"/>
      <c r="C38" s="18"/>
      <c r="D38" s="18"/>
      <c r="E38" s="17"/>
      <c r="F38" s="19"/>
      <c r="G38" s="47"/>
      <c r="H38" s="44"/>
      <c r="I38" s="43"/>
      <c r="J38" s="61"/>
      <c r="K38" s="55"/>
      <c r="L38" s="20"/>
      <c r="M38" s="21"/>
      <c r="N38" s="22"/>
      <c r="O38" s="30"/>
    </row>
    <row r="39" spans="1:15" ht="15.75">
      <c r="A39" s="27">
        <v>11</v>
      </c>
      <c r="B39" s="17">
        <v>225080365</v>
      </c>
      <c r="C39" s="18" t="s">
        <v>33</v>
      </c>
      <c r="D39" s="18" t="s">
        <v>34</v>
      </c>
      <c r="E39" s="17" t="s">
        <v>13</v>
      </c>
      <c r="F39" s="19">
        <v>8.4</v>
      </c>
      <c r="G39" s="47"/>
      <c r="H39" s="44"/>
      <c r="I39" s="43">
        <v>12</v>
      </c>
      <c r="J39" s="61">
        <f t="shared" si="0"/>
        <v>10.461538461538462</v>
      </c>
      <c r="K39" s="55">
        <v>26.3</v>
      </c>
      <c r="L39" s="20">
        <f t="shared" si="1"/>
        <v>36.761538461538464</v>
      </c>
      <c r="M39" s="21"/>
      <c r="N39" s="22"/>
      <c r="O39" s="30"/>
    </row>
    <row r="40" spans="1:15" ht="15.75">
      <c r="A40" s="27"/>
      <c r="B40" s="17"/>
      <c r="C40" s="18"/>
      <c r="D40" s="18"/>
      <c r="E40" s="17"/>
      <c r="F40" s="19"/>
      <c r="G40" s="47"/>
      <c r="H40" s="44"/>
      <c r="I40" s="43"/>
      <c r="J40" s="61"/>
      <c r="K40" s="55"/>
      <c r="L40" s="20"/>
      <c r="M40" s="21"/>
      <c r="N40" s="22"/>
      <c r="O40" s="30"/>
    </row>
    <row r="41" spans="1:15" ht="15.75">
      <c r="A41" s="27"/>
      <c r="B41" s="17"/>
      <c r="C41" s="18"/>
      <c r="D41" s="18"/>
      <c r="E41" s="17"/>
      <c r="F41" s="19"/>
      <c r="G41" s="47"/>
      <c r="H41" s="44"/>
      <c r="I41" s="43"/>
      <c r="J41" s="61"/>
      <c r="K41" s="55"/>
      <c r="L41" s="20"/>
      <c r="M41" s="21"/>
      <c r="N41" s="22"/>
      <c r="O41" s="30"/>
    </row>
    <row r="42" spans="1:15" ht="15.75">
      <c r="A42" s="27">
        <v>12</v>
      </c>
      <c r="B42" s="17">
        <v>225032386</v>
      </c>
      <c r="C42" s="18" t="s">
        <v>35</v>
      </c>
      <c r="D42" s="18" t="s">
        <v>36</v>
      </c>
      <c r="E42" s="17" t="s">
        <v>13</v>
      </c>
      <c r="F42" s="19">
        <v>8.3000000000000007</v>
      </c>
      <c r="G42" s="47"/>
      <c r="H42" s="44"/>
      <c r="I42" s="43">
        <v>12</v>
      </c>
      <c r="J42" s="61">
        <f t="shared" si="0"/>
        <v>10.410256410256411</v>
      </c>
      <c r="K42" s="55">
        <v>23.1</v>
      </c>
      <c r="L42" s="20">
        <f t="shared" si="1"/>
        <v>33.51025641025641</v>
      </c>
      <c r="M42" s="21"/>
      <c r="N42" s="22"/>
      <c r="O42" s="30"/>
    </row>
    <row r="43" spans="1:15" ht="15.75">
      <c r="A43" s="27"/>
      <c r="B43" s="17"/>
      <c r="C43" s="18"/>
      <c r="D43" s="18"/>
      <c r="E43" s="17"/>
      <c r="F43" s="19"/>
      <c r="G43" s="47"/>
      <c r="H43" s="44"/>
      <c r="I43" s="43"/>
      <c r="J43" s="61"/>
      <c r="K43" s="55"/>
      <c r="L43" s="20"/>
      <c r="M43" s="21"/>
      <c r="N43" s="22"/>
      <c r="O43" s="30"/>
    </row>
    <row r="44" spans="1:15" ht="15.75">
      <c r="A44" s="27"/>
      <c r="B44" s="17"/>
      <c r="C44" s="18"/>
      <c r="D44" s="18"/>
      <c r="E44" s="17"/>
      <c r="F44" s="19"/>
      <c r="G44" s="47"/>
      <c r="H44" s="44"/>
      <c r="I44" s="43"/>
      <c r="J44" s="61"/>
      <c r="K44" s="55"/>
      <c r="L44" s="20"/>
      <c r="M44" s="21"/>
      <c r="N44" s="22"/>
      <c r="O44" s="30"/>
    </row>
    <row r="45" spans="1:15" ht="15.75">
      <c r="A45" s="27">
        <v>13</v>
      </c>
      <c r="B45" s="17">
        <v>225028844</v>
      </c>
      <c r="C45" s="18" t="s">
        <v>37</v>
      </c>
      <c r="D45" s="18" t="s">
        <v>38</v>
      </c>
      <c r="E45" s="17" t="s">
        <v>13</v>
      </c>
      <c r="F45" s="19">
        <v>8.1999999999999993</v>
      </c>
      <c r="G45" s="47">
        <v>11</v>
      </c>
      <c r="H45" s="44">
        <v>4.5</v>
      </c>
      <c r="I45" s="43">
        <v>12</v>
      </c>
      <c r="J45" s="61">
        <f t="shared" si="0"/>
        <v>18.307692307692307</v>
      </c>
      <c r="K45" s="55">
        <v>24</v>
      </c>
      <c r="L45" s="20">
        <f t="shared" si="1"/>
        <v>42.307692307692307</v>
      </c>
      <c r="M45" s="21"/>
      <c r="N45" s="22"/>
      <c r="O45" s="30"/>
    </row>
    <row r="46" spans="1:15" ht="15.75">
      <c r="A46" s="27"/>
      <c r="B46" s="17"/>
      <c r="C46" s="18"/>
      <c r="D46" s="18"/>
      <c r="E46" s="17"/>
      <c r="F46" s="19"/>
      <c r="G46" s="47"/>
      <c r="H46" s="44"/>
      <c r="I46" s="43"/>
      <c r="J46" s="61"/>
      <c r="K46" s="55"/>
      <c r="L46" s="20"/>
      <c r="M46" s="21"/>
      <c r="N46" s="22"/>
      <c r="O46" s="30"/>
    </row>
    <row r="47" spans="1:15" ht="15.75">
      <c r="A47" s="27"/>
      <c r="B47" s="17"/>
      <c r="C47" s="18"/>
      <c r="D47" s="18"/>
      <c r="E47" s="17"/>
      <c r="F47" s="19"/>
      <c r="G47" s="47"/>
      <c r="H47" s="44"/>
      <c r="I47" s="43"/>
      <c r="J47" s="61"/>
      <c r="K47" s="55"/>
      <c r="L47" s="20"/>
      <c r="M47" s="21"/>
      <c r="N47" s="22"/>
      <c r="O47" s="30"/>
    </row>
    <row r="48" spans="1:15" ht="15.75">
      <c r="A48" s="27">
        <v>14</v>
      </c>
      <c r="B48" s="17">
        <v>225026182</v>
      </c>
      <c r="C48" s="18" t="s">
        <v>37</v>
      </c>
      <c r="D48" s="18" t="s">
        <v>39</v>
      </c>
      <c r="E48" s="17" t="s">
        <v>20</v>
      </c>
      <c r="F48" s="19"/>
      <c r="G48" s="47"/>
      <c r="H48" s="44"/>
      <c r="I48" s="43">
        <v>12</v>
      </c>
      <c r="J48" s="61">
        <f t="shared" si="0"/>
        <v>6.1538461538461542</v>
      </c>
      <c r="K48" s="63"/>
      <c r="L48" s="20">
        <f t="shared" si="1"/>
        <v>6.1538461538461542</v>
      </c>
      <c r="M48" s="21"/>
      <c r="N48" s="22"/>
      <c r="O48" s="30"/>
    </row>
    <row r="49" spans="1:15" ht="15.75">
      <c r="A49" s="27"/>
      <c r="B49" s="17"/>
      <c r="C49" s="18"/>
      <c r="D49" s="18"/>
      <c r="E49" s="17"/>
      <c r="F49" s="19"/>
      <c r="G49" s="47"/>
      <c r="H49" s="44"/>
      <c r="I49" s="43"/>
      <c r="J49" s="61"/>
      <c r="K49" s="55"/>
      <c r="L49" s="20"/>
      <c r="M49" s="21"/>
      <c r="N49" s="22"/>
      <c r="O49" s="30"/>
    </row>
    <row r="50" spans="1:15" ht="15.75">
      <c r="A50" s="27"/>
      <c r="B50" s="17"/>
      <c r="C50" s="18"/>
      <c r="D50" s="18"/>
      <c r="E50" s="17"/>
      <c r="F50" s="19"/>
      <c r="G50" s="47"/>
      <c r="H50" s="44"/>
      <c r="I50" s="43"/>
      <c r="J50" s="61"/>
      <c r="K50" s="55"/>
      <c r="L50" s="20"/>
      <c r="M50" s="21"/>
      <c r="N50" s="22"/>
      <c r="O50" s="30"/>
    </row>
    <row r="51" spans="1:15" ht="15.75">
      <c r="A51" s="27">
        <v>15</v>
      </c>
      <c r="B51" s="17">
        <v>225075288</v>
      </c>
      <c r="C51" s="18" t="s">
        <v>40</v>
      </c>
      <c r="D51" s="18" t="s">
        <v>41</v>
      </c>
      <c r="E51" s="17" t="s">
        <v>20</v>
      </c>
      <c r="F51" s="19">
        <v>8.4</v>
      </c>
      <c r="G51" s="47">
        <v>10</v>
      </c>
      <c r="H51" s="44">
        <v>4.5</v>
      </c>
      <c r="I51" s="43"/>
      <c r="J51" s="61">
        <f t="shared" si="0"/>
        <v>11.743589743589743</v>
      </c>
      <c r="K51" s="63">
        <v>24.8</v>
      </c>
      <c r="L51" s="20">
        <f t="shared" si="1"/>
        <v>36.543589743589742</v>
      </c>
      <c r="M51" s="21"/>
      <c r="N51" s="22"/>
      <c r="O51" s="30"/>
    </row>
    <row r="52" spans="1:15" ht="15.75">
      <c r="A52" s="27"/>
      <c r="B52" s="17"/>
      <c r="C52" s="18"/>
      <c r="D52" s="18"/>
      <c r="E52" s="17"/>
      <c r="F52" s="19"/>
      <c r="G52" s="47"/>
      <c r="H52" s="44"/>
      <c r="I52" s="43"/>
      <c r="J52" s="61"/>
      <c r="K52" s="55"/>
      <c r="L52" s="20"/>
      <c r="M52" s="21"/>
      <c r="N52" s="22"/>
      <c r="O52" s="30"/>
    </row>
    <row r="53" spans="1:15" ht="15.75">
      <c r="A53" s="27"/>
      <c r="B53" s="17"/>
      <c r="C53" s="18"/>
      <c r="D53" s="18"/>
      <c r="E53" s="17"/>
      <c r="F53" s="19"/>
      <c r="G53" s="47"/>
      <c r="H53" s="44"/>
      <c r="I53" s="43"/>
      <c r="J53" s="61"/>
      <c r="K53" s="55"/>
      <c r="L53" s="20"/>
      <c r="M53" s="21"/>
      <c r="N53" s="22"/>
      <c r="O53" s="30"/>
    </row>
    <row r="54" spans="1:15" ht="15.75">
      <c r="A54" s="27">
        <v>16</v>
      </c>
      <c r="B54" s="17">
        <v>225056811</v>
      </c>
      <c r="C54" s="18" t="s">
        <v>42</v>
      </c>
      <c r="D54" s="18" t="s">
        <v>43</v>
      </c>
      <c r="E54" s="17" t="s">
        <v>13</v>
      </c>
      <c r="F54" s="19"/>
      <c r="G54" s="47"/>
      <c r="H54" s="44"/>
      <c r="I54" s="43"/>
      <c r="J54" s="61">
        <f t="shared" si="0"/>
        <v>0</v>
      </c>
      <c r="K54" s="55">
        <v>17.3</v>
      </c>
      <c r="L54" s="20">
        <f t="shared" si="1"/>
        <v>17.3</v>
      </c>
      <c r="M54" s="21"/>
      <c r="N54" s="22"/>
      <c r="O54" s="30"/>
    </row>
    <row r="55" spans="1:15" ht="15.75">
      <c r="A55" s="27"/>
      <c r="B55" s="17"/>
      <c r="C55" s="18"/>
      <c r="D55" s="18"/>
      <c r="E55" s="17"/>
      <c r="F55" s="19"/>
      <c r="G55" s="47"/>
      <c r="H55" s="44"/>
      <c r="I55" s="43"/>
      <c r="J55" s="61"/>
      <c r="K55" s="55"/>
      <c r="L55" s="20"/>
      <c r="M55" s="21"/>
      <c r="N55" s="22"/>
      <c r="O55" s="30"/>
    </row>
    <row r="56" spans="1:15" ht="15.75">
      <c r="A56" s="27"/>
      <c r="B56" s="17"/>
      <c r="C56" s="18"/>
      <c r="D56" s="18"/>
      <c r="E56" s="17"/>
      <c r="F56" s="19"/>
      <c r="G56" s="47"/>
      <c r="H56" s="44"/>
      <c r="I56" s="43"/>
      <c r="J56" s="61"/>
      <c r="K56" s="55"/>
      <c r="L56" s="20"/>
      <c r="M56" s="21"/>
      <c r="N56" s="22"/>
      <c r="O56" s="30"/>
    </row>
    <row r="57" spans="1:15" ht="15.75">
      <c r="A57" s="27">
        <v>17</v>
      </c>
      <c r="B57" s="17">
        <v>225063466</v>
      </c>
      <c r="C57" s="18" t="s">
        <v>44</v>
      </c>
      <c r="D57" s="18" t="s">
        <v>45</v>
      </c>
      <c r="E57" s="17" t="s">
        <v>13</v>
      </c>
      <c r="F57" s="19"/>
      <c r="G57" s="47"/>
      <c r="H57" s="44"/>
      <c r="I57" s="43">
        <v>12</v>
      </c>
      <c r="J57" s="61">
        <f t="shared" si="0"/>
        <v>6.1538461538461542</v>
      </c>
      <c r="K57" s="63"/>
      <c r="L57" s="20">
        <f t="shared" si="1"/>
        <v>6.1538461538461542</v>
      </c>
      <c r="M57" s="21"/>
      <c r="N57" s="22"/>
      <c r="O57" s="30"/>
    </row>
    <row r="58" spans="1:15" ht="15.75">
      <c r="A58" s="27"/>
      <c r="B58" s="17"/>
      <c r="C58" s="18"/>
      <c r="D58" s="18"/>
      <c r="E58" s="17"/>
      <c r="F58" s="19"/>
      <c r="G58" s="47"/>
      <c r="H58" s="44"/>
      <c r="I58" s="43"/>
      <c r="J58" s="61"/>
      <c r="K58" s="55"/>
      <c r="L58" s="20"/>
      <c r="M58" s="21"/>
      <c r="N58" s="22"/>
      <c r="O58" s="30"/>
    </row>
    <row r="59" spans="1:15" ht="15.75">
      <c r="A59" s="27"/>
      <c r="B59" s="17"/>
      <c r="C59" s="18"/>
      <c r="D59" s="18"/>
      <c r="E59" s="17"/>
      <c r="F59" s="19"/>
      <c r="G59" s="47"/>
      <c r="H59" s="44"/>
      <c r="I59" s="43"/>
      <c r="J59" s="61"/>
      <c r="K59" s="55"/>
      <c r="L59" s="20"/>
      <c r="M59" s="21"/>
      <c r="N59" s="22"/>
      <c r="O59" s="30"/>
    </row>
    <row r="60" spans="1:15" ht="15.75">
      <c r="A60" s="27">
        <v>18</v>
      </c>
      <c r="B60" s="17">
        <v>225061330</v>
      </c>
      <c r="C60" s="18" t="s">
        <v>46</v>
      </c>
      <c r="D60" s="18" t="s">
        <v>47</v>
      </c>
      <c r="E60" s="17" t="s">
        <v>13</v>
      </c>
      <c r="F60" s="19">
        <v>8.1999999999999993</v>
      </c>
      <c r="G60" s="47">
        <v>6</v>
      </c>
      <c r="H60" s="44">
        <v>3</v>
      </c>
      <c r="I60" s="43">
        <v>12</v>
      </c>
      <c r="J60" s="61">
        <f t="shared" si="0"/>
        <v>14.974358974358974</v>
      </c>
      <c r="K60" s="55">
        <v>15</v>
      </c>
      <c r="L60" s="20">
        <f t="shared" si="1"/>
        <v>29.974358974358974</v>
      </c>
      <c r="M60" s="21"/>
      <c r="N60" s="22"/>
      <c r="O60" s="30"/>
    </row>
    <row r="61" spans="1:15" ht="15.75">
      <c r="A61" s="27"/>
      <c r="B61" s="17"/>
      <c r="C61" s="18"/>
      <c r="D61" s="18"/>
      <c r="E61" s="17"/>
      <c r="F61" s="19"/>
      <c r="G61" s="47"/>
      <c r="H61" s="44"/>
      <c r="I61" s="43"/>
      <c r="J61" s="61"/>
      <c r="K61" s="55"/>
      <c r="L61" s="20"/>
      <c r="M61" s="21"/>
      <c r="N61" s="22"/>
      <c r="O61" s="30"/>
    </row>
    <row r="62" spans="1:15" ht="15.75">
      <c r="A62" s="27"/>
      <c r="B62" s="17"/>
      <c r="C62" s="18"/>
      <c r="D62" s="18"/>
      <c r="E62" s="17"/>
      <c r="F62" s="19"/>
      <c r="G62" s="47"/>
      <c r="H62" s="44"/>
      <c r="I62" s="43"/>
      <c r="J62" s="61"/>
      <c r="K62" s="55"/>
      <c r="L62" s="20"/>
      <c r="M62" s="21"/>
      <c r="N62" s="22"/>
      <c r="O62" s="30"/>
    </row>
    <row r="63" spans="1:15" ht="15.75">
      <c r="A63" s="27">
        <v>19</v>
      </c>
      <c r="B63" s="17">
        <v>225051908</v>
      </c>
      <c r="C63" s="18" t="s">
        <v>48</v>
      </c>
      <c r="D63" s="18" t="s">
        <v>49</v>
      </c>
      <c r="E63" s="17" t="s">
        <v>20</v>
      </c>
      <c r="F63" s="19">
        <v>7.8</v>
      </c>
      <c r="G63" s="47">
        <v>10</v>
      </c>
      <c r="H63" s="44">
        <v>4.5</v>
      </c>
      <c r="I63" s="43">
        <v>12</v>
      </c>
      <c r="J63" s="61">
        <f t="shared" si="0"/>
        <v>17.589743589743591</v>
      </c>
      <c r="K63" s="55">
        <v>26.8</v>
      </c>
      <c r="L63" s="20">
        <f t="shared" si="1"/>
        <v>44.389743589743588</v>
      </c>
      <c r="M63" s="21"/>
      <c r="N63" s="22"/>
      <c r="O63" s="30"/>
    </row>
    <row r="64" spans="1:15" ht="15.75">
      <c r="A64" s="27"/>
      <c r="B64" s="17"/>
      <c r="C64" s="18"/>
      <c r="D64" s="18"/>
      <c r="E64" s="17"/>
      <c r="F64" s="19"/>
      <c r="G64" s="47"/>
      <c r="H64" s="44"/>
      <c r="I64" s="43"/>
      <c r="J64" s="61"/>
      <c r="K64" s="55"/>
      <c r="L64" s="20"/>
      <c r="M64" s="21"/>
      <c r="N64" s="22"/>
      <c r="O64" s="30"/>
    </row>
    <row r="65" spans="1:15" ht="15.75">
      <c r="A65" s="27"/>
      <c r="B65" s="17"/>
      <c r="C65" s="18"/>
      <c r="D65" s="18"/>
      <c r="E65" s="17"/>
      <c r="F65" s="19"/>
      <c r="G65" s="47"/>
      <c r="H65" s="44"/>
      <c r="I65" s="43"/>
      <c r="J65" s="61"/>
      <c r="K65" s="55"/>
      <c r="L65" s="20"/>
      <c r="M65" s="21"/>
      <c r="N65" s="22"/>
      <c r="O65" s="30"/>
    </row>
    <row r="66" spans="1:15" ht="15.75">
      <c r="A66" s="27">
        <v>20</v>
      </c>
      <c r="B66" s="17">
        <v>225071029</v>
      </c>
      <c r="C66" s="18" t="s">
        <v>48</v>
      </c>
      <c r="D66" s="18" t="s">
        <v>50</v>
      </c>
      <c r="E66" s="17" t="s">
        <v>13</v>
      </c>
      <c r="F66" s="19">
        <v>8.1999999999999993</v>
      </c>
      <c r="G66" s="47">
        <v>11</v>
      </c>
      <c r="H66" s="44">
        <v>4.5</v>
      </c>
      <c r="I66" s="43">
        <v>12</v>
      </c>
      <c r="J66" s="61">
        <f t="shared" si="0"/>
        <v>18.307692307692307</v>
      </c>
      <c r="K66" s="55">
        <v>21.3</v>
      </c>
      <c r="L66" s="20">
        <f t="shared" si="1"/>
        <v>39.607692307692304</v>
      </c>
      <c r="M66" s="21"/>
      <c r="N66" s="22"/>
      <c r="O66" s="30"/>
    </row>
    <row r="67" spans="1:15" ht="15.75">
      <c r="A67" s="27"/>
      <c r="B67" s="17"/>
      <c r="C67" s="18"/>
      <c r="D67" s="18"/>
      <c r="E67" s="17"/>
      <c r="F67" s="19"/>
      <c r="G67" s="47"/>
      <c r="H67" s="44"/>
      <c r="I67" s="43"/>
      <c r="J67" s="61"/>
      <c r="K67" s="55"/>
      <c r="L67" s="20"/>
      <c r="M67" s="21"/>
      <c r="N67" s="22"/>
      <c r="O67" s="30"/>
    </row>
    <row r="68" spans="1:15" ht="15.75">
      <c r="A68" s="27"/>
      <c r="B68" s="17"/>
      <c r="C68" s="18"/>
      <c r="D68" s="18"/>
      <c r="E68" s="17"/>
      <c r="F68" s="19"/>
      <c r="G68" s="47"/>
      <c r="H68" s="44"/>
      <c r="I68" s="43"/>
      <c r="J68" s="61"/>
      <c r="K68" s="55"/>
      <c r="L68" s="20"/>
      <c r="M68" s="21"/>
      <c r="N68" s="22"/>
      <c r="O68" s="30"/>
    </row>
    <row r="69" spans="1:15" ht="15.75">
      <c r="A69" s="27">
        <v>21</v>
      </c>
      <c r="B69" s="17">
        <v>225072128</v>
      </c>
      <c r="C69" s="18" t="s">
        <v>48</v>
      </c>
      <c r="D69" s="18" t="s">
        <v>51</v>
      </c>
      <c r="E69" s="17"/>
      <c r="F69" s="19">
        <v>8.4</v>
      </c>
      <c r="G69" s="47">
        <v>11</v>
      </c>
      <c r="H69" s="44">
        <v>5</v>
      </c>
      <c r="I69" s="43"/>
      <c r="J69" s="61">
        <f t="shared" si="0"/>
        <v>12.512820512820513</v>
      </c>
      <c r="K69" s="55">
        <v>18.100000000000001</v>
      </c>
      <c r="L69" s="20">
        <f t="shared" si="1"/>
        <v>30.612820512820512</v>
      </c>
      <c r="M69" s="21"/>
      <c r="N69" s="22"/>
      <c r="O69" s="30"/>
    </row>
    <row r="70" spans="1:15" ht="15.75">
      <c r="A70" s="27"/>
      <c r="B70" s="17"/>
      <c r="C70" s="18"/>
      <c r="D70" s="18"/>
      <c r="E70" s="17"/>
      <c r="F70" s="19"/>
      <c r="G70" s="47"/>
      <c r="H70" s="44"/>
      <c r="I70" s="43"/>
      <c r="J70" s="61"/>
      <c r="K70" s="55"/>
      <c r="L70" s="20"/>
      <c r="M70" s="21"/>
      <c r="N70" s="22"/>
      <c r="O70" s="30"/>
    </row>
    <row r="71" spans="1:15" ht="15.75">
      <c r="A71" s="27"/>
      <c r="B71" s="17"/>
      <c r="C71" s="18"/>
      <c r="D71" s="18"/>
      <c r="E71" s="17"/>
      <c r="F71" s="19"/>
      <c r="G71" s="47"/>
      <c r="H71" s="44"/>
      <c r="I71" s="43"/>
      <c r="J71" s="61"/>
      <c r="K71" s="55"/>
      <c r="L71" s="20"/>
      <c r="M71" s="21"/>
      <c r="N71" s="22"/>
      <c r="O71" s="30"/>
    </row>
    <row r="72" spans="1:15" ht="15.75">
      <c r="A72" s="27">
        <v>22</v>
      </c>
      <c r="B72" s="17">
        <v>225068567</v>
      </c>
      <c r="C72" s="18" t="s">
        <v>52</v>
      </c>
      <c r="D72" s="18" t="s">
        <v>53</v>
      </c>
      <c r="E72" s="17" t="s">
        <v>13</v>
      </c>
      <c r="F72" s="19">
        <v>7.8</v>
      </c>
      <c r="G72" s="47">
        <v>11</v>
      </c>
      <c r="H72" s="44">
        <v>4.5</v>
      </c>
      <c r="I72" s="43">
        <v>11</v>
      </c>
      <c r="J72" s="61">
        <f t="shared" si="0"/>
        <v>17.589743589743591</v>
      </c>
      <c r="K72" s="55">
        <v>20.3</v>
      </c>
      <c r="L72" s="20">
        <f t="shared" si="1"/>
        <v>37.889743589743588</v>
      </c>
      <c r="M72" s="21"/>
      <c r="N72" s="22"/>
      <c r="O72" s="30"/>
    </row>
    <row r="73" spans="1:15" ht="15.75">
      <c r="A73" s="27"/>
      <c r="B73" s="17"/>
      <c r="C73" s="18"/>
      <c r="D73" s="18"/>
      <c r="E73" s="17"/>
      <c r="F73" s="19"/>
      <c r="G73" s="47"/>
      <c r="H73" s="44"/>
      <c r="I73" s="43"/>
      <c r="J73" s="61"/>
      <c r="K73" s="55"/>
      <c r="L73" s="20"/>
      <c r="M73" s="21"/>
      <c r="N73" s="22"/>
      <c r="O73" s="30"/>
    </row>
    <row r="74" spans="1:15" ht="15.75">
      <c r="A74" s="27"/>
      <c r="B74" s="17"/>
      <c r="C74" s="18"/>
      <c r="D74" s="18"/>
      <c r="E74" s="17"/>
      <c r="F74" s="19"/>
      <c r="G74" s="47"/>
      <c r="H74" s="44"/>
      <c r="I74" s="43"/>
      <c r="J74" s="61"/>
      <c r="K74" s="55"/>
      <c r="L74" s="20"/>
      <c r="M74" s="21"/>
      <c r="N74" s="22"/>
      <c r="O74" s="30"/>
    </row>
    <row r="75" spans="1:15" ht="15.75">
      <c r="A75" s="27">
        <v>23</v>
      </c>
      <c r="B75" s="17">
        <v>225031958</v>
      </c>
      <c r="C75" s="18" t="s">
        <v>54</v>
      </c>
      <c r="D75" s="18" t="s">
        <v>55</v>
      </c>
      <c r="E75" s="17" t="s">
        <v>13</v>
      </c>
      <c r="F75" s="19">
        <v>8.3000000000000007</v>
      </c>
      <c r="G75" s="47">
        <v>10</v>
      </c>
      <c r="H75" s="44">
        <v>4.5</v>
      </c>
      <c r="I75" s="43">
        <v>12</v>
      </c>
      <c r="J75" s="61">
        <f t="shared" ref="J75:J135" si="2">(F75+G75+H75+I75)*20/39</f>
        <v>17.846153846153847</v>
      </c>
      <c r="K75" s="55">
        <v>26.7</v>
      </c>
      <c r="L75" s="20">
        <f t="shared" ref="L75:L135" si="3">J75+K75</f>
        <v>44.546153846153842</v>
      </c>
      <c r="M75" s="21"/>
      <c r="N75" s="22"/>
      <c r="O75" s="30"/>
    </row>
    <row r="76" spans="1:15" ht="15.75">
      <c r="A76" s="27"/>
      <c r="B76" s="17"/>
      <c r="C76" s="18"/>
      <c r="D76" s="18"/>
      <c r="E76" s="17"/>
      <c r="F76" s="19"/>
      <c r="G76" s="47"/>
      <c r="H76" s="44"/>
      <c r="I76" s="43"/>
      <c r="J76" s="61"/>
      <c r="K76" s="55"/>
      <c r="L76" s="20"/>
      <c r="M76" s="21"/>
      <c r="N76" s="22"/>
      <c r="O76" s="30"/>
    </row>
    <row r="77" spans="1:15" ht="15.75">
      <c r="A77" s="27"/>
      <c r="B77" s="17"/>
      <c r="C77" s="18"/>
      <c r="D77" s="18"/>
      <c r="E77" s="17"/>
      <c r="F77" s="19"/>
      <c r="G77" s="47"/>
      <c r="H77" s="44"/>
      <c r="I77" s="43"/>
      <c r="J77" s="61"/>
      <c r="K77" s="55"/>
      <c r="L77" s="20"/>
      <c r="M77" s="21"/>
      <c r="N77" s="22"/>
      <c r="O77" s="30"/>
    </row>
    <row r="78" spans="1:15" ht="15.75">
      <c r="A78" s="27">
        <v>24</v>
      </c>
      <c r="B78" s="17">
        <v>225037346</v>
      </c>
      <c r="C78" s="18" t="s">
        <v>56</v>
      </c>
      <c r="D78" s="18" t="s">
        <v>57</v>
      </c>
      <c r="E78" s="17" t="s">
        <v>13</v>
      </c>
      <c r="F78" s="19">
        <v>8.1999999999999993</v>
      </c>
      <c r="G78" s="47">
        <v>11</v>
      </c>
      <c r="H78" s="44">
        <v>5</v>
      </c>
      <c r="I78" s="43"/>
      <c r="J78" s="61">
        <f t="shared" si="2"/>
        <v>12.410256410256411</v>
      </c>
      <c r="K78" s="63">
        <v>15.2</v>
      </c>
      <c r="L78" s="20">
        <f t="shared" si="3"/>
        <v>27.610256410256412</v>
      </c>
      <c r="M78" s="21"/>
      <c r="N78" s="22"/>
      <c r="O78" s="30"/>
    </row>
    <row r="79" spans="1:15" ht="15.75">
      <c r="A79" s="27"/>
      <c r="B79" s="17"/>
      <c r="C79" s="18"/>
      <c r="D79" s="18"/>
      <c r="E79" s="17"/>
      <c r="F79" s="19"/>
      <c r="G79" s="47"/>
      <c r="H79" s="44"/>
      <c r="I79" s="43"/>
      <c r="J79" s="61"/>
      <c r="K79" s="55"/>
      <c r="L79" s="20"/>
      <c r="M79" s="21"/>
      <c r="N79" s="22"/>
      <c r="O79" s="30"/>
    </row>
    <row r="80" spans="1:15" ht="15.75">
      <c r="A80" s="27"/>
      <c r="B80" s="17"/>
      <c r="C80" s="18"/>
      <c r="D80" s="18"/>
      <c r="E80" s="17"/>
      <c r="F80" s="19"/>
      <c r="G80" s="47"/>
      <c r="H80" s="44"/>
      <c r="I80" s="43"/>
      <c r="J80" s="61"/>
      <c r="K80" s="55"/>
      <c r="L80" s="20"/>
      <c r="M80" s="21"/>
      <c r="N80" s="22"/>
      <c r="O80" s="30"/>
    </row>
    <row r="81" spans="1:15" ht="15.75">
      <c r="A81" s="27">
        <v>25</v>
      </c>
      <c r="B81" s="17">
        <v>225065684</v>
      </c>
      <c r="C81" s="18" t="s">
        <v>58</v>
      </c>
      <c r="D81" s="18" t="s">
        <v>59</v>
      </c>
      <c r="E81" s="17" t="s">
        <v>20</v>
      </c>
      <c r="F81" s="19">
        <v>8.1</v>
      </c>
      <c r="G81" s="47">
        <v>10</v>
      </c>
      <c r="H81" s="44">
        <v>4.5</v>
      </c>
      <c r="I81" s="43">
        <v>12</v>
      </c>
      <c r="J81" s="61">
        <f t="shared" si="2"/>
        <v>17.743589743589745</v>
      </c>
      <c r="K81" s="55">
        <v>25</v>
      </c>
      <c r="L81" s="20">
        <f t="shared" si="3"/>
        <v>42.743589743589745</v>
      </c>
      <c r="M81" s="21"/>
      <c r="N81" s="22"/>
      <c r="O81" s="30"/>
    </row>
    <row r="82" spans="1:15" ht="15.75">
      <c r="A82" s="27"/>
      <c r="B82" s="17"/>
      <c r="C82" s="18"/>
      <c r="D82" s="18"/>
      <c r="E82" s="17"/>
      <c r="F82" s="19"/>
      <c r="G82" s="47"/>
      <c r="H82" s="44"/>
      <c r="I82" s="43"/>
      <c r="J82" s="61"/>
      <c r="K82" s="55"/>
      <c r="L82" s="20"/>
      <c r="M82" s="21"/>
      <c r="N82" s="22"/>
      <c r="O82" s="30"/>
    </row>
    <row r="83" spans="1:15" ht="15.75">
      <c r="A83" s="27"/>
      <c r="B83" s="17"/>
      <c r="C83" s="18"/>
      <c r="D83" s="18"/>
      <c r="E83" s="17"/>
      <c r="F83" s="19"/>
      <c r="G83" s="47"/>
      <c r="H83" s="44"/>
      <c r="I83" s="43"/>
      <c r="J83" s="61"/>
      <c r="K83" s="55"/>
      <c r="L83" s="20"/>
      <c r="M83" s="21"/>
      <c r="N83" s="22"/>
      <c r="O83" s="30"/>
    </row>
    <row r="84" spans="1:15" ht="15.75">
      <c r="A84" s="27">
        <v>26</v>
      </c>
      <c r="B84" s="17">
        <v>225062893</v>
      </c>
      <c r="C84" s="18" t="s">
        <v>60</v>
      </c>
      <c r="D84" s="18" t="s">
        <v>61</v>
      </c>
      <c r="E84" s="17" t="s">
        <v>13</v>
      </c>
      <c r="F84" s="19">
        <v>7.5</v>
      </c>
      <c r="G84" s="47"/>
      <c r="H84" s="44"/>
      <c r="I84" s="43"/>
      <c r="J84" s="61">
        <f t="shared" si="2"/>
        <v>3.8461538461538463</v>
      </c>
      <c r="K84" s="55">
        <v>18.5</v>
      </c>
      <c r="L84" s="20">
        <f t="shared" si="3"/>
        <v>22.346153846153847</v>
      </c>
      <c r="M84" s="21"/>
      <c r="N84" s="22"/>
      <c r="O84" s="30"/>
    </row>
    <row r="85" spans="1:15" ht="15.75">
      <c r="A85" s="27"/>
      <c r="B85" s="17"/>
      <c r="C85" s="18"/>
      <c r="D85" s="18"/>
      <c r="E85" s="17"/>
      <c r="F85" s="19"/>
      <c r="G85" s="47"/>
      <c r="H85" s="44"/>
      <c r="I85" s="43"/>
      <c r="J85" s="61"/>
      <c r="K85" s="55"/>
      <c r="L85" s="20"/>
      <c r="M85" s="21"/>
      <c r="N85" s="22"/>
      <c r="O85" s="30"/>
    </row>
    <row r="86" spans="1:15" ht="15.75">
      <c r="A86" s="27"/>
      <c r="B86" s="17"/>
      <c r="C86" s="18"/>
      <c r="D86" s="18"/>
      <c r="E86" s="17"/>
      <c r="F86" s="19"/>
      <c r="G86" s="47"/>
      <c r="H86" s="44"/>
      <c r="I86" s="43"/>
      <c r="J86" s="61"/>
      <c r="K86" s="55"/>
      <c r="L86" s="20"/>
      <c r="M86" s="21"/>
      <c r="N86" s="22"/>
      <c r="O86" s="30"/>
    </row>
    <row r="87" spans="1:15" ht="15.75">
      <c r="A87" s="27">
        <v>27</v>
      </c>
      <c r="B87" s="17">
        <v>225058387</v>
      </c>
      <c r="C87" s="18" t="s">
        <v>62</v>
      </c>
      <c r="D87" s="18" t="s">
        <v>63</v>
      </c>
      <c r="E87" s="17" t="s">
        <v>20</v>
      </c>
      <c r="F87" s="19">
        <v>8.6</v>
      </c>
      <c r="G87" s="47">
        <v>11</v>
      </c>
      <c r="H87" s="44">
        <v>5</v>
      </c>
      <c r="I87" s="43">
        <v>12</v>
      </c>
      <c r="J87" s="61">
        <f t="shared" si="2"/>
        <v>18.76923076923077</v>
      </c>
      <c r="K87" s="55">
        <v>20.2</v>
      </c>
      <c r="L87" s="20">
        <f t="shared" si="3"/>
        <v>38.969230769230769</v>
      </c>
      <c r="M87" s="21"/>
      <c r="N87" s="22"/>
      <c r="O87" s="30"/>
    </row>
    <row r="88" spans="1:15" ht="15.75">
      <c r="A88" s="27"/>
      <c r="B88" s="17"/>
      <c r="C88" s="18"/>
      <c r="D88" s="18"/>
      <c r="E88" s="17"/>
      <c r="F88" s="19"/>
      <c r="G88" s="47"/>
      <c r="H88" s="44"/>
      <c r="I88" s="43"/>
      <c r="J88" s="61"/>
      <c r="K88" s="55"/>
      <c r="L88" s="20"/>
      <c r="M88" s="21"/>
      <c r="N88" s="22"/>
      <c r="O88" s="30"/>
    </row>
    <row r="89" spans="1:15" ht="15.75">
      <c r="A89" s="27"/>
      <c r="B89" s="17"/>
      <c r="C89" s="18"/>
      <c r="D89" s="18"/>
      <c r="E89" s="17"/>
      <c r="F89" s="19"/>
      <c r="G89" s="47"/>
      <c r="H89" s="44"/>
      <c r="I89" s="43"/>
      <c r="J89" s="61"/>
      <c r="K89" s="55"/>
      <c r="L89" s="20"/>
      <c r="M89" s="21"/>
      <c r="N89" s="22"/>
      <c r="O89" s="30"/>
    </row>
    <row r="90" spans="1:15" ht="15.75">
      <c r="A90" s="27">
        <v>28</v>
      </c>
      <c r="B90" s="17">
        <v>225036539</v>
      </c>
      <c r="C90" s="18" t="s">
        <v>64</v>
      </c>
      <c r="D90" s="18" t="s">
        <v>65</v>
      </c>
      <c r="E90" s="17" t="s">
        <v>20</v>
      </c>
      <c r="F90" s="19">
        <v>8.3000000000000007</v>
      </c>
      <c r="G90" s="47"/>
      <c r="H90" s="44"/>
      <c r="I90" s="43">
        <v>12</v>
      </c>
      <c r="J90" s="61">
        <f t="shared" si="2"/>
        <v>10.410256410256411</v>
      </c>
      <c r="K90" s="55">
        <v>25</v>
      </c>
      <c r="L90" s="20">
        <f t="shared" si="3"/>
        <v>35.410256410256409</v>
      </c>
      <c r="M90" s="21"/>
      <c r="N90" s="22"/>
      <c r="O90" s="30"/>
    </row>
    <row r="91" spans="1:15" ht="15.75">
      <c r="A91" s="27"/>
      <c r="B91" s="17"/>
      <c r="C91" s="18"/>
      <c r="D91" s="18"/>
      <c r="E91" s="17"/>
      <c r="F91" s="19"/>
      <c r="G91" s="47"/>
      <c r="H91" s="44"/>
      <c r="I91" s="43"/>
      <c r="J91" s="61"/>
      <c r="K91" s="55"/>
      <c r="L91" s="20"/>
      <c r="M91" s="21"/>
      <c r="N91" s="22"/>
      <c r="O91" s="30"/>
    </row>
    <row r="92" spans="1:15" ht="15.75">
      <c r="A92" s="27"/>
      <c r="B92" s="17"/>
      <c r="C92" s="18"/>
      <c r="D92" s="18"/>
      <c r="E92" s="17"/>
      <c r="F92" s="19"/>
      <c r="G92" s="47"/>
      <c r="H92" s="44"/>
      <c r="I92" s="43"/>
      <c r="J92" s="61"/>
      <c r="K92" s="55"/>
      <c r="L92" s="20"/>
      <c r="M92" s="21"/>
      <c r="N92" s="22"/>
      <c r="O92" s="30"/>
    </row>
    <row r="93" spans="1:15" ht="15.75">
      <c r="A93" s="27">
        <v>29</v>
      </c>
      <c r="B93" s="17">
        <v>225039364</v>
      </c>
      <c r="C93" s="18" t="s">
        <v>66</v>
      </c>
      <c r="D93" s="18" t="s">
        <v>67</v>
      </c>
      <c r="E93" s="17" t="s">
        <v>20</v>
      </c>
      <c r="F93" s="19">
        <v>8</v>
      </c>
      <c r="G93" s="47">
        <v>11</v>
      </c>
      <c r="H93" s="44">
        <v>4</v>
      </c>
      <c r="I93" s="43"/>
      <c r="J93" s="61">
        <f t="shared" si="2"/>
        <v>11.794871794871796</v>
      </c>
      <c r="K93" s="55">
        <v>20.399999999999999</v>
      </c>
      <c r="L93" s="20">
        <f t="shared" si="3"/>
        <v>32.194871794871794</v>
      </c>
      <c r="M93" s="21"/>
      <c r="N93" s="22"/>
      <c r="O93" s="30"/>
    </row>
    <row r="94" spans="1:15" ht="15.75">
      <c r="A94" s="27"/>
      <c r="B94" s="17"/>
      <c r="C94" s="18"/>
      <c r="D94" s="18"/>
      <c r="E94" s="17"/>
      <c r="F94" s="19"/>
      <c r="G94" s="47"/>
      <c r="H94" s="44"/>
      <c r="I94" s="43"/>
      <c r="J94" s="61"/>
      <c r="K94" s="55"/>
      <c r="L94" s="20"/>
      <c r="M94" s="21"/>
      <c r="N94" s="22"/>
      <c r="O94" s="30"/>
    </row>
    <row r="95" spans="1:15" ht="15.75">
      <c r="A95" s="27"/>
      <c r="B95" s="17"/>
      <c r="C95" s="18"/>
      <c r="D95" s="18"/>
      <c r="E95" s="17"/>
      <c r="F95" s="19"/>
      <c r="G95" s="47"/>
      <c r="H95" s="44"/>
      <c r="I95" s="43"/>
      <c r="J95" s="61"/>
      <c r="K95" s="55"/>
      <c r="L95" s="20"/>
      <c r="M95" s="21"/>
      <c r="N95" s="22"/>
      <c r="O95" s="30"/>
    </row>
    <row r="96" spans="1:15" ht="15.75">
      <c r="A96" s="27">
        <v>30</v>
      </c>
      <c r="B96" s="17">
        <v>225030764</v>
      </c>
      <c r="C96" s="18" t="s">
        <v>68</v>
      </c>
      <c r="D96" s="18" t="s">
        <v>69</v>
      </c>
      <c r="E96" s="17" t="s">
        <v>13</v>
      </c>
      <c r="F96" s="19">
        <v>8.4</v>
      </c>
      <c r="G96" s="47"/>
      <c r="H96" s="44"/>
      <c r="I96" s="43">
        <v>12</v>
      </c>
      <c r="J96" s="61">
        <f t="shared" si="2"/>
        <v>10.461538461538462</v>
      </c>
      <c r="K96" s="55">
        <v>18.5</v>
      </c>
      <c r="L96" s="20">
        <f t="shared" si="3"/>
        <v>28.96153846153846</v>
      </c>
      <c r="M96" s="21"/>
      <c r="N96" s="22"/>
      <c r="O96" s="30"/>
    </row>
    <row r="97" spans="1:15" ht="15.75">
      <c r="A97" s="27"/>
      <c r="B97" s="17"/>
      <c r="C97" s="18"/>
      <c r="D97" s="18"/>
      <c r="E97" s="17"/>
      <c r="F97" s="19"/>
      <c r="G97" s="47"/>
      <c r="H97" s="44"/>
      <c r="I97" s="43"/>
      <c r="J97" s="61"/>
      <c r="K97" s="55"/>
      <c r="L97" s="20"/>
      <c r="M97" s="21"/>
      <c r="N97" s="22"/>
      <c r="O97" s="30"/>
    </row>
    <row r="98" spans="1:15" ht="15.75">
      <c r="A98" s="27"/>
      <c r="B98" s="17"/>
      <c r="C98" s="18"/>
      <c r="D98" s="18"/>
      <c r="E98" s="17"/>
      <c r="F98" s="19"/>
      <c r="G98" s="47"/>
      <c r="H98" s="44"/>
      <c r="I98" s="43"/>
      <c r="J98" s="61"/>
      <c r="K98" s="55"/>
      <c r="L98" s="20"/>
      <c r="M98" s="21"/>
      <c r="N98" s="22"/>
      <c r="O98" s="30"/>
    </row>
    <row r="99" spans="1:15" ht="15.75">
      <c r="A99" s="27">
        <v>31</v>
      </c>
      <c r="B99" s="17">
        <v>225075862</v>
      </c>
      <c r="C99" s="18" t="s">
        <v>70</v>
      </c>
      <c r="D99" s="18" t="s">
        <v>71</v>
      </c>
      <c r="E99" s="17" t="s">
        <v>20</v>
      </c>
      <c r="F99" s="19"/>
      <c r="G99" s="47"/>
      <c r="H99" s="44"/>
      <c r="I99" s="43">
        <v>12</v>
      </c>
      <c r="J99" s="61">
        <f t="shared" si="2"/>
        <v>6.1538461538461542</v>
      </c>
      <c r="K99" s="55">
        <v>22.5</v>
      </c>
      <c r="L99" s="20">
        <f t="shared" si="3"/>
        <v>28.653846153846153</v>
      </c>
      <c r="M99" s="21"/>
      <c r="N99" s="22"/>
      <c r="O99" s="30"/>
    </row>
    <row r="100" spans="1:15" ht="15.75">
      <c r="A100" s="27"/>
      <c r="B100" s="17"/>
      <c r="C100" s="18"/>
      <c r="D100" s="18"/>
      <c r="E100" s="17"/>
      <c r="F100" s="19"/>
      <c r="G100" s="47"/>
      <c r="H100" s="44"/>
      <c r="I100" s="43"/>
      <c r="J100" s="61"/>
      <c r="K100" s="55"/>
      <c r="L100" s="20"/>
      <c r="M100" s="21"/>
      <c r="N100" s="22"/>
      <c r="O100" s="30"/>
    </row>
    <row r="101" spans="1:15" ht="15.75">
      <c r="A101" s="27"/>
      <c r="B101" s="17"/>
      <c r="C101" s="18"/>
      <c r="D101" s="18"/>
      <c r="E101" s="17"/>
      <c r="F101" s="19"/>
      <c r="G101" s="47"/>
      <c r="H101" s="44"/>
      <c r="I101" s="43"/>
      <c r="J101" s="61"/>
      <c r="K101" s="55"/>
      <c r="L101" s="20"/>
      <c r="M101" s="21"/>
      <c r="N101" s="22"/>
      <c r="O101" s="30"/>
    </row>
    <row r="102" spans="1:15" ht="15.75">
      <c r="A102" s="27">
        <v>32</v>
      </c>
      <c r="B102" s="17">
        <v>225057252</v>
      </c>
      <c r="C102" s="18" t="s">
        <v>72</v>
      </c>
      <c r="D102" s="18" t="s">
        <v>73</v>
      </c>
      <c r="E102" s="17" t="s">
        <v>13</v>
      </c>
      <c r="F102" s="19">
        <v>8.3000000000000007</v>
      </c>
      <c r="G102" s="47"/>
      <c r="H102" s="44"/>
      <c r="I102" s="43">
        <v>12</v>
      </c>
      <c r="J102" s="61">
        <f t="shared" si="2"/>
        <v>10.410256410256411</v>
      </c>
      <c r="K102" s="55">
        <v>23.7</v>
      </c>
      <c r="L102" s="20">
        <f t="shared" si="3"/>
        <v>34.110256410256412</v>
      </c>
      <c r="M102" s="21"/>
      <c r="N102" s="22"/>
      <c r="O102" s="30"/>
    </row>
    <row r="103" spans="1:15" ht="15.75">
      <c r="A103" s="27"/>
      <c r="B103" s="17"/>
      <c r="C103" s="18"/>
      <c r="D103" s="18"/>
      <c r="E103" s="17"/>
      <c r="F103" s="19"/>
      <c r="G103" s="47"/>
      <c r="H103" s="44"/>
      <c r="I103" s="43"/>
      <c r="J103" s="61"/>
      <c r="K103" s="55"/>
      <c r="L103" s="20"/>
      <c r="M103" s="21"/>
      <c r="N103" s="22"/>
      <c r="O103" s="30"/>
    </row>
    <row r="104" spans="1:15" ht="15.75">
      <c r="A104" s="27"/>
      <c r="B104" s="17"/>
      <c r="C104" s="18"/>
      <c r="D104" s="18"/>
      <c r="E104" s="17"/>
      <c r="F104" s="19"/>
      <c r="G104" s="47"/>
      <c r="H104" s="44"/>
      <c r="I104" s="43"/>
      <c r="J104" s="61"/>
      <c r="K104" s="55"/>
      <c r="L104" s="20"/>
      <c r="M104" s="21"/>
      <c r="N104" s="22"/>
      <c r="O104" s="30"/>
    </row>
    <row r="105" spans="1:15" ht="15.75">
      <c r="A105" s="27">
        <v>33</v>
      </c>
      <c r="B105" s="17">
        <v>225053730</v>
      </c>
      <c r="C105" s="18" t="s">
        <v>74</v>
      </c>
      <c r="D105" s="18" t="s">
        <v>75</v>
      </c>
      <c r="E105" s="17" t="s">
        <v>13</v>
      </c>
      <c r="F105" s="19">
        <v>8</v>
      </c>
      <c r="G105" s="47">
        <v>10</v>
      </c>
      <c r="H105" s="44">
        <v>4.5</v>
      </c>
      <c r="I105" s="43"/>
      <c r="J105" s="61">
        <f t="shared" si="2"/>
        <v>11.538461538461538</v>
      </c>
      <c r="K105" s="55">
        <v>19</v>
      </c>
      <c r="L105" s="20">
        <f t="shared" si="3"/>
        <v>30.53846153846154</v>
      </c>
      <c r="M105" s="21"/>
      <c r="N105" s="22"/>
      <c r="O105" s="30"/>
    </row>
    <row r="106" spans="1:15" ht="15.75">
      <c r="A106" s="27"/>
      <c r="B106" s="17"/>
      <c r="C106" s="18"/>
      <c r="D106" s="18"/>
      <c r="E106" s="17"/>
      <c r="F106" s="19"/>
      <c r="G106" s="47"/>
      <c r="H106" s="44"/>
      <c r="I106" s="43"/>
      <c r="J106" s="61"/>
      <c r="K106" s="55"/>
      <c r="L106" s="20"/>
      <c r="M106" s="21"/>
      <c r="N106" s="22"/>
      <c r="O106" s="30"/>
    </row>
    <row r="107" spans="1:15" ht="15.75">
      <c r="A107" s="27"/>
      <c r="B107" s="17"/>
      <c r="C107" s="18"/>
      <c r="D107" s="18"/>
      <c r="E107" s="17"/>
      <c r="F107" s="19"/>
      <c r="G107" s="47"/>
      <c r="H107" s="44"/>
      <c r="I107" s="43"/>
      <c r="J107" s="61"/>
      <c r="K107" s="55"/>
      <c r="L107" s="20"/>
      <c r="M107" s="21"/>
      <c r="N107" s="22"/>
      <c r="O107" s="30"/>
    </row>
    <row r="108" spans="1:15" ht="15.75">
      <c r="A108" s="27">
        <v>34</v>
      </c>
      <c r="B108" s="17">
        <v>225044480</v>
      </c>
      <c r="C108" s="18" t="s">
        <v>76</v>
      </c>
      <c r="D108" s="18" t="s">
        <v>50</v>
      </c>
      <c r="E108" s="17" t="s">
        <v>13</v>
      </c>
      <c r="F108" s="19">
        <v>8.1999999999999993</v>
      </c>
      <c r="G108" s="47">
        <v>11</v>
      </c>
      <c r="H108" s="44">
        <v>4.5</v>
      </c>
      <c r="I108" s="43">
        <v>12</v>
      </c>
      <c r="J108" s="61">
        <f t="shared" si="2"/>
        <v>18.307692307692307</v>
      </c>
      <c r="K108" s="55">
        <v>20.8</v>
      </c>
      <c r="L108" s="20">
        <f t="shared" si="3"/>
        <v>39.107692307692304</v>
      </c>
      <c r="M108" s="21"/>
      <c r="N108" s="22"/>
      <c r="O108" s="30"/>
    </row>
    <row r="109" spans="1:15" ht="15.75">
      <c r="A109" s="27"/>
      <c r="B109" s="17"/>
      <c r="C109" s="18"/>
      <c r="D109" s="18"/>
      <c r="E109" s="17"/>
      <c r="F109" s="19"/>
      <c r="G109" s="47"/>
      <c r="H109" s="44"/>
      <c r="I109" s="43"/>
      <c r="J109" s="61"/>
      <c r="K109" s="55"/>
      <c r="L109" s="20"/>
      <c r="M109" s="21"/>
      <c r="N109" s="22"/>
      <c r="O109" s="30"/>
    </row>
    <row r="110" spans="1:15" ht="15.75">
      <c r="A110" s="27"/>
      <c r="B110" s="17"/>
      <c r="C110" s="18"/>
      <c r="D110" s="18"/>
      <c r="E110" s="17"/>
      <c r="F110" s="19"/>
      <c r="G110" s="47"/>
      <c r="H110" s="44"/>
      <c r="I110" s="43"/>
      <c r="J110" s="61"/>
      <c r="K110" s="55"/>
      <c r="L110" s="20"/>
      <c r="M110" s="21"/>
      <c r="N110" s="22"/>
      <c r="O110" s="30"/>
    </row>
    <row r="111" spans="1:15" ht="15.75">
      <c r="A111" s="27">
        <v>35</v>
      </c>
      <c r="B111" s="17">
        <v>225071819</v>
      </c>
      <c r="C111" s="18" t="s">
        <v>77</v>
      </c>
      <c r="D111" s="18" t="s">
        <v>78</v>
      </c>
      <c r="E111" s="17" t="s">
        <v>13</v>
      </c>
      <c r="F111" s="19">
        <v>8</v>
      </c>
      <c r="G111" s="47"/>
      <c r="H111" s="44"/>
      <c r="I111" s="43">
        <v>12</v>
      </c>
      <c r="J111" s="61">
        <f t="shared" si="2"/>
        <v>10.256410256410257</v>
      </c>
      <c r="K111" s="55">
        <v>16.2</v>
      </c>
      <c r="L111" s="20">
        <f t="shared" si="3"/>
        <v>26.456410256410258</v>
      </c>
      <c r="M111" s="21"/>
      <c r="N111" s="22"/>
      <c r="O111" s="30"/>
    </row>
    <row r="112" spans="1:15" ht="15.75">
      <c r="A112" s="27"/>
      <c r="B112" s="17"/>
      <c r="C112" s="18"/>
      <c r="D112" s="18"/>
      <c r="E112" s="17"/>
      <c r="F112" s="19"/>
      <c r="G112" s="47"/>
      <c r="H112" s="44"/>
      <c r="I112" s="43"/>
      <c r="J112" s="61"/>
      <c r="K112" s="55"/>
      <c r="L112" s="20"/>
      <c r="M112" s="21"/>
      <c r="N112" s="22"/>
      <c r="O112" s="30"/>
    </row>
    <row r="113" spans="1:15" ht="15.75">
      <c r="A113" s="27"/>
      <c r="B113" s="17"/>
      <c r="C113" s="18"/>
      <c r="D113" s="18"/>
      <c r="E113" s="17"/>
      <c r="F113" s="19"/>
      <c r="G113" s="47"/>
      <c r="H113" s="44"/>
      <c r="I113" s="43"/>
      <c r="J113" s="61"/>
      <c r="K113" s="55"/>
      <c r="L113" s="20"/>
      <c r="M113" s="21"/>
      <c r="N113" s="22"/>
      <c r="O113" s="30"/>
    </row>
    <row r="114" spans="1:15" ht="15.75">
      <c r="A114" s="27">
        <v>36</v>
      </c>
      <c r="B114" s="17">
        <v>225089735</v>
      </c>
      <c r="C114" s="18" t="s">
        <v>79</v>
      </c>
      <c r="D114" s="18" t="s">
        <v>80</v>
      </c>
      <c r="E114" s="17" t="s">
        <v>20</v>
      </c>
      <c r="F114" s="19">
        <v>8</v>
      </c>
      <c r="G114" s="47"/>
      <c r="H114" s="44"/>
      <c r="I114" s="43">
        <v>12</v>
      </c>
      <c r="J114" s="61">
        <f t="shared" si="2"/>
        <v>10.256410256410257</v>
      </c>
      <c r="K114" s="63"/>
      <c r="L114" s="20">
        <f t="shared" si="3"/>
        <v>10.256410256410257</v>
      </c>
      <c r="M114" s="21"/>
      <c r="N114" s="22"/>
      <c r="O114" s="30"/>
    </row>
    <row r="115" spans="1:15" ht="15.75">
      <c r="A115" s="27"/>
      <c r="B115" s="17"/>
      <c r="C115" s="18"/>
      <c r="D115" s="18"/>
      <c r="E115" s="17"/>
      <c r="F115" s="19"/>
      <c r="G115" s="47"/>
      <c r="H115" s="44"/>
      <c r="I115" s="43"/>
      <c r="J115" s="61"/>
      <c r="K115" s="55"/>
      <c r="L115" s="20"/>
      <c r="M115" s="21"/>
      <c r="N115" s="22"/>
      <c r="O115" s="30"/>
    </row>
    <row r="116" spans="1:15" ht="15.75">
      <c r="A116" s="27"/>
      <c r="B116" s="17"/>
      <c r="C116" s="18"/>
      <c r="D116" s="18"/>
      <c r="E116" s="17"/>
      <c r="F116" s="19"/>
      <c r="G116" s="47"/>
      <c r="H116" s="44"/>
      <c r="I116" s="43"/>
      <c r="J116" s="61"/>
      <c r="K116" s="55"/>
      <c r="L116" s="20"/>
      <c r="M116" s="21"/>
      <c r="N116" s="22"/>
      <c r="O116" s="30"/>
    </row>
    <row r="117" spans="1:15" ht="15.75">
      <c r="A117" s="27">
        <v>37</v>
      </c>
      <c r="B117" s="17">
        <v>225077954</v>
      </c>
      <c r="C117" s="18" t="s">
        <v>81</v>
      </c>
      <c r="D117" s="18" t="s">
        <v>82</v>
      </c>
      <c r="E117" s="17" t="s">
        <v>13</v>
      </c>
      <c r="F117" s="19"/>
      <c r="G117" s="47"/>
      <c r="H117" s="44"/>
      <c r="I117" s="43"/>
      <c r="J117" s="61">
        <f t="shared" si="2"/>
        <v>0</v>
      </c>
      <c r="K117" s="55">
        <v>16.2</v>
      </c>
      <c r="L117" s="20">
        <f t="shared" si="3"/>
        <v>16.2</v>
      </c>
      <c r="M117" s="21"/>
      <c r="N117" s="22"/>
      <c r="O117" s="30"/>
    </row>
    <row r="118" spans="1:15" ht="15.75">
      <c r="A118" s="27"/>
      <c r="B118" s="17"/>
      <c r="C118" s="18"/>
      <c r="D118" s="18"/>
      <c r="E118" s="17"/>
      <c r="F118" s="19"/>
      <c r="G118" s="47"/>
      <c r="H118" s="44"/>
      <c r="I118" s="43"/>
      <c r="J118" s="61"/>
      <c r="K118" s="55"/>
      <c r="L118" s="20"/>
      <c r="M118" s="21"/>
      <c r="N118" s="22"/>
      <c r="O118" s="30"/>
    </row>
    <row r="119" spans="1:15" ht="15.75">
      <c r="A119" s="27"/>
      <c r="B119" s="17"/>
      <c r="C119" s="18"/>
      <c r="D119" s="18"/>
      <c r="E119" s="17"/>
      <c r="F119" s="19"/>
      <c r="G119" s="47"/>
      <c r="H119" s="44"/>
      <c r="I119" s="43"/>
      <c r="J119" s="61"/>
      <c r="K119" s="55"/>
      <c r="L119" s="20"/>
      <c r="M119" s="21"/>
      <c r="N119" s="22"/>
      <c r="O119" s="30"/>
    </row>
    <row r="120" spans="1:15" ht="15.75">
      <c r="A120" s="27">
        <v>38</v>
      </c>
      <c r="B120" s="17">
        <v>225035940</v>
      </c>
      <c r="C120" s="18" t="s">
        <v>83</v>
      </c>
      <c r="D120" s="18" t="s">
        <v>84</v>
      </c>
      <c r="E120" s="17" t="s">
        <v>13</v>
      </c>
      <c r="F120" s="19">
        <v>8</v>
      </c>
      <c r="G120" s="47"/>
      <c r="H120" s="44"/>
      <c r="I120" s="43">
        <v>12</v>
      </c>
      <c r="J120" s="61">
        <f t="shared" si="2"/>
        <v>10.256410256410257</v>
      </c>
      <c r="K120" s="55">
        <v>17.2</v>
      </c>
      <c r="L120" s="20">
        <f t="shared" si="3"/>
        <v>27.456410256410258</v>
      </c>
      <c r="M120" s="21"/>
      <c r="N120" s="22"/>
      <c r="O120" s="30"/>
    </row>
    <row r="121" spans="1:15" ht="15.75">
      <c r="A121" s="27"/>
      <c r="B121" s="17"/>
      <c r="C121" s="18"/>
      <c r="D121" s="18"/>
      <c r="E121" s="17"/>
      <c r="F121" s="19"/>
      <c r="G121" s="47"/>
      <c r="H121" s="44"/>
      <c r="I121" s="43"/>
      <c r="J121" s="61"/>
      <c r="K121" s="55"/>
      <c r="L121" s="20"/>
      <c r="M121" s="21"/>
      <c r="N121" s="22"/>
      <c r="O121" s="30"/>
    </row>
    <row r="122" spans="1:15" ht="15.75">
      <c r="A122" s="27"/>
      <c r="B122" s="17"/>
      <c r="C122" s="18"/>
      <c r="D122" s="18"/>
      <c r="E122" s="17"/>
      <c r="F122" s="19"/>
      <c r="G122" s="47"/>
      <c r="H122" s="44"/>
      <c r="I122" s="43"/>
      <c r="J122" s="61"/>
      <c r="K122" s="55"/>
      <c r="L122" s="20"/>
      <c r="M122" s="21"/>
      <c r="N122" s="22"/>
      <c r="O122" s="30"/>
    </row>
    <row r="123" spans="1:15" ht="15.75">
      <c r="A123" s="27">
        <v>39</v>
      </c>
      <c r="B123" s="17">
        <v>225064442</v>
      </c>
      <c r="C123" s="18" t="s">
        <v>85</v>
      </c>
      <c r="D123" s="18" t="s">
        <v>86</v>
      </c>
      <c r="E123" s="17" t="s">
        <v>13</v>
      </c>
      <c r="F123" s="19">
        <v>8.4</v>
      </c>
      <c r="G123" s="47">
        <v>11</v>
      </c>
      <c r="H123" s="44">
        <v>3.5</v>
      </c>
      <c r="I123" s="43">
        <v>12</v>
      </c>
      <c r="J123" s="61">
        <f t="shared" si="2"/>
        <v>17.897435897435898</v>
      </c>
      <c r="K123" s="55">
        <v>20.7</v>
      </c>
      <c r="L123" s="20">
        <f t="shared" si="3"/>
        <v>38.597435897435901</v>
      </c>
      <c r="M123" s="21"/>
      <c r="N123" s="22"/>
      <c r="O123" s="30"/>
    </row>
    <row r="124" spans="1:15" ht="15.75">
      <c r="A124" s="27"/>
      <c r="B124" s="17"/>
      <c r="C124" s="18"/>
      <c r="D124" s="18"/>
      <c r="E124" s="17"/>
      <c r="F124" s="19"/>
      <c r="G124" s="47"/>
      <c r="H124" s="44"/>
      <c r="I124" s="43"/>
      <c r="J124" s="61"/>
      <c r="K124" s="55"/>
      <c r="L124" s="20"/>
      <c r="M124" s="21"/>
      <c r="N124" s="22"/>
      <c r="O124" s="30"/>
    </row>
    <row r="125" spans="1:15" ht="15.75">
      <c r="A125" s="27"/>
      <c r="B125" s="17"/>
      <c r="C125" s="18"/>
      <c r="D125" s="18"/>
      <c r="E125" s="17"/>
      <c r="F125" s="19"/>
      <c r="G125" s="47"/>
      <c r="H125" s="44"/>
      <c r="I125" s="43"/>
      <c r="J125" s="61"/>
      <c r="K125" s="55"/>
      <c r="L125" s="20"/>
      <c r="M125" s="21"/>
      <c r="N125" s="22"/>
      <c r="O125" s="30"/>
    </row>
    <row r="126" spans="1:15" ht="15.75">
      <c r="A126" s="27">
        <v>40</v>
      </c>
      <c r="B126" s="17">
        <v>225063949</v>
      </c>
      <c r="C126" s="18" t="s">
        <v>87</v>
      </c>
      <c r="D126" s="18" t="s">
        <v>88</v>
      </c>
      <c r="E126" s="17" t="s">
        <v>13</v>
      </c>
      <c r="F126" s="19">
        <v>8.5</v>
      </c>
      <c r="G126" s="47">
        <v>11</v>
      </c>
      <c r="H126" s="44">
        <v>4</v>
      </c>
      <c r="I126" s="43">
        <v>12</v>
      </c>
      <c r="J126" s="61">
        <f t="shared" si="2"/>
        <v>18.205128205128204</v>
      </c>
      <c r="K126" s="55">
        <v>21.2</v>
      </c>
      <c r="L126" s="20">
        <f t="shared" si="3"/>
        <v>39.405128205128207</v>
      </c>
      <c r="M126" s="21"/>
      <c r="N126" s="22"/>
      <c r="O126" s="30"/>
    </row>
    <row r="127" spans="1:15" ht="15.75">
      <c r="A127" s="27"/>
      <c r="B127" s="17"/>
      <c r="C127" s="18"/>
      <c r="D127" s="18"/>
      <c r="E127" s="17"/>
      <c r="F127" s="19"/>
      <c r="G127" s="47"/>
      <c r="H127" s="44"/>
      <c r="I127" s="43"/>
      <c r="J127" s="61"/>
      <c r="K127" s="55"/>
      <c r="L127" s="20"/>
      <c r="M127" s="21"/>
      <c r="N127" s="22"/>
      <c r="O127" s="30"/>
    </row>
    <row r="128" spans="1:15" ht="15.75">
      <c r="A128" s="27"/>
      <c r="B128" s="17"/>
      <c r="C128" s="18"/>
      <c r="D128" s="18"/>
      <c r="E128" s="17"/>
      <c r="F128" s="19"/>
      <c r="G128" s="47"/>
      <c r="H128" s="44"/>
      <c r="I128" s="43"/>
      <c r="J128" s="61"/>
      <c r="K128" s="55"/>
      <c r="L128" s="20"/>
      <c r="M128" s="21"/>
      <c r="N128" s="22"/>
      <c r="O128" s="30"/>
    </row>
    <row r="129" spans="1:15" ht="15.75">
      <c r="A129" s="27">
        <v>41</v>
      </c>
      <c r="B129" s="17">
        <v>225030818</v>
      </c>
      <c r="C129" s="18" t="s">
        <v>89</v>
      </c>
      <c r="D129" s="18" t="s">
        <v>90</v>
      </c>
      <c r="E129" s="17" t="s">
        <v>20</v>
      </c>
      <c r="F129" s="19">
        <v>8</v>
      </c>
      <c r="G129" s="47"/>
      <c r="H129" s="44"/>
      <c r="I129" s="43">
        <v>11</v>
      </c>
      <c r="J129" s="61">
        <f t="shared" si="2"/>
        <v>9.7435897435897427</v>
      </c>
      <c r="K129" s="55">
        <v>20</v>
      </c>
      <c r="L129" s="20">
        <f t="shared" si="3"/>
        <v>29.743589743589745</v>
      </c>
      <c r="M129" s="21"/>
      <c r="N129" s="22"/>
      <c r="O129" s="30"/>
    </row>
    <row r="130" spans="1:15" ht="15.75">
      <c r="A130" s="27"/>
      <c r="B130" s="17"/>
      <c r="C130" s="18"/>
      <c r="D130" s="18"/>
      <c r="E130" s="17"/>
      <c r="F130" s="19"/>
      <c r="G130" s="47"/>
      <c r="H130" s="44"/>
      <c r="I130" s="43"/>
      <c r="J130" s="61"/>
      <c r="K130" s="55"/>
      <c r="L130" s="20"/>
      <c r="M130" s="21"/>
      <c r="N130" s="22"/>
      <c r="O130" s="30"/>
    </row>
    <row r="131" spans="1:15" ht="15.75">
      <c r="A131" s="27"/>
      <c r="B131" s="17"/>
      <c r="C131" s="18"/>
      <c r="D131" s="18"/>
      <c r="E131" s="17"/>
      <c r="F131" s="19"/>
      <c r="G131" s="47"/>
      <c r="H131" s="44"/>
      <c r="I131" s="43"/>
      <c r="J131" s="61"/>
      <c r="K131" s="55"/>
      <c r="L131" s="20"/>
      <c r="M131" s="21"/>
      <c r="N131" s="22"/>
      <c r="O131" s="30"/>
    </row>
    <row r="132" spans="1:15" ht="15.75">
      <c r="A132" s="27">
        <v>42</v>
      </c>
      <c r="B132" s="17">
        <v>225032036</v>
      </c>
      <c r="C132" s="18" t="s">
        <v>91</v>
      </c>
      <c r="D132" s="18" t="s">
        <v>92</v>
      </c>
      <c r="E132" s="17" t="s">
        <v>13</v>
      </c>
      <c r="F132" s="19">
        <v>7.5</v>
      </c>
      <c r="G132" s="47">
        <v>11</v>
      </c>
      <c r="H132" s="44">
        <v>5</v>
      </c>
      <c r="I132" s="43">
        <v>12</v>
      </c>
      <c r="J132" s="61">
        <f t="shared" si="2"/>
        <v>18.205128205128204</v>
      </c>
      <c r="K132" s="55">
        <v>16.2</v>
      </c>
      <c r="L132" s="20">
        <f t="shared" si="3"/>
        <v>34.405128205128207</v>
      </c>
      <c r="M132" s="21"/>
      <c r="N132" s="22"/>
      <c r="O132" s="30"/>
    </row>
    <row r="133" spans="1:15" ht="15.75">
      <c r="A133" s="27"/>
      <c r="B133" s="17"/>
      <c r="C133" s="18"/>
      <c r="D133" s="18"/>
      <c r="E133" s="17"/>
      <c r="F133" s="19"/>
      <c r="G133" s="47"/>
      <c r="H133" s="44"/>
      <c r="I133" s="43"/>
      <c r="J133" s="61"/>
      <c r="K133" s="55"/>
      <c r="L133" s="20"/>
      <c r="M133" s="21"/>
      <c r="N133" s="22"/>
      <c r="O133" s="30"/>
    </row>
    <row r="134" spans="1:15" ht="15.75">
      <c r="A134" s="27"/>
      <c r="B134" s="17"/>
      <c r="C134" s="18"/>
      <c r="D134" s="18"/>
      <c r="E134" s="17"/>
      <c r="F134" s="19"/>
      <c r="G134" s="47"/>
      <c r="H134" s="44"/>
      <c r="I134" s="43"/>
      <c r="J134" s="61"/>
      <c r="K134" s="55"/>
      <c r="L134" s="20"/>
      <c r="M134" s="21"/>
      <c r="N134" s="22"/>
      <c r="O134" s="30"/>
    </row>
    <row r="135" spans="1:15" ht="15.75">
      <c r="A135" s="27">
        <v>43</v>
      </c>
      <c r="B135" s="17">
        <v>225053994</v>
      </c>
      <c r="C135" s="18" t="s">
        <v>93</v>
      </c>
      <c r="D135" s="18" t="s">
        <v>94</v>
      </c>
      <c r="E135" s="17" t="s">
        <v>13</v>
      </c>
      <c r="F135" s="19">
        <v>8.4</v>
      </c>
      <c r="G135" s="47">
        <v>11</v>
      </c>
      <c r="H135" s="44">
        <v>5</v>
      </c>
      <c r="I135" s="43">
        <v>11</v>
      </c>
      <c r="J135" s="61">
        <f t="shared" si="2"/>
        <v>18.153846153846153</v>
      </c>
      <c r="K135" s="55">
        <v>17.3</v>
      </c>
      <c r="L135" s="20">
        <f t="shared" si="3"/>
        <v>35.453846153846158</v>
      </c>
      <c r="M135" s="21"/>
      <c r="N135" s="22"/>
      <c r="O135" s="30"/>
    </row>
    <row r="136" spans="1:15" ht="15.75">
      <c r="A136" s="27"/>
      <c r="B136" s="17"/>
      <c r="C136" s="18"/>
      <c r="D136" s="18"/>
      <c r="E136" s="17"/>
      <c r="F136" s="19"/>
      <c r="G136" s="47"/>
      <c r="H136" s="44"/>
      <c r="I136" s="43"/>
      <c r="J136" s="61"/>
      <c r="K136" s="55"/>
      <c r="L136" s="20"/>
      <c r="M136" s="21"/>
      <c r="N136" s="22"/>
      <c r="O136" s="30"/>
    </row>
    <row r="137" spans="1:15" ht="15.75">
      <c r="A137" s="27"/>
      <c r="B137" s="17"/>
      <c r="C137" s="18"/>
      <c r="D137" s="18"/>
      <c r="E137" s="17"/>
      <c r="F137" s="19"/>
      <c r="G137" s="47"/>
      <c r="H137" s="44"/>
      <c r="I137" s="43"/>
      <c r="J137" s="61"/>
      <c r="K137" s="55"/>
      <c r="L137" s="20"/>
      <c r="M137" s="21"/>
      <c r="N137" s="22"/>
      <c r="O137" s="30"/>
    </row>
    <row r="138" spans="1:15" ht="15.75">
      <c r="A138" s="27">
        <v>44</v>
      </c>
      <c r="B138" s="17">
        <v>225036353</v>
      </c>
      <c r="C138" s="18" t="s">
        <v>95</v>
      </c>
      <c r="D138" s="18" t="s">
        <v>96</v>
      </c>
      <c r="E138" s="17" t="s">
        <v>20</v>
      </c>
      <c r="F138" s="19"/>
      <c r="G138" s="47"/>
      <c r="H138" s="44"/>
      <c r="I138" s="43">
        <v>11</v>
      </c>
      <c r="J138" s="61">
        <f>(F138+G138+H138+I138)*20/39</f>
        <v>5.6410256410256414</v>
      </c>
      <c r="K138" s="55">
        <v>24.4</v>
      </c>
      <c r="L138" s="20">
        <f t="shared" ref="L138:L198" si="4">J138+K138</f>
        <v>30.041025641025641</v>
      </c>
      <c r="M138" s="21"/>
      <c r="N138" s="22"/>
      <c r="O138" s="30"/>
    </row>
    <row r="139" spans="1:15" ht="15.75">
      <c r="A139" s="27"/>
      <c r="B139" s="17"/>
      <c r="C139" s="18"/>
      <c r="D139" s="18"/>
      <c r="E139" s="17"/>
      <c r="F139" s="19"/>
      <c r="G139" s="47"/>
      <c r="H139" s="44"/>
      <c r="I139" s="43"/>
      <c r="J139" s="61"/>
      <c r="K139" s="55"/>
      <c r="L139" s="20"/>
      <c r="M139" s="21"/>
      <c r="N139" s="22"/>
      <c r="O139" s="30"/>
    </row>
    <row r="140" spans="1:15" ht="15.75">
      <c r="A140" s="27"/>
      <c r="B140" s="17"/>
      <c r="C140" s="18"/>
      <c r="D140" s="18"/>
      <c r="E140" s="17"/>
      <c r="F140" s="19"/>
      <c r="G140" s="47"/>
      <c r="H140" s="44"/>
      <c r="I140" s="43"/>
      <c r="J140" s="61"/>
      <c r="K140" s="55"/>
      <c r="L140" s="20"/>
      <c r="M140" s="21"/>
      <c r="N140" s="22"/>
      <c r="O140" s="30"/>
    </row>
    <row r="141" spans="1:15" ht="15.75">
      <c r="A141" s="27">
        <v>45</v>
      </c>
      <c r="B141" s="17">
        <v>225041222</v>
      </c>
      <c r="C141" s="18" t="s">
        <v>97</v>
      </c>
      <c r="D141" s="18" t="s">
        <v>98</v>
      </c>
      <c r="E141" s="17" t="s">
        <v>13</v>
      </c>
      <c r="F141" s="19">
        <v>7.8</v>
      </c>
      <c r="G141" s="47">
        <v>11</v>
      </c>
      <c r="H141" s="44">
        <v>5</v>
      </c>
      <c r="I141" s="43">
        <v>12</v>
      </c>
      <c r="J141" s="61">
        <f>(F141+G141+H141+I141)*20/39</f>
        <v>18.358974358974358</v>
      </c>
      <c r="K141" s="55">
        <v>21.5</v>
      </c>
      <c r="L141" s="20">
        <f t="shared" si="4"/>
        <v>39.858974358974358</v>
      </c>
      <c r="M141" s="21"/>
      <c r="N141" s="22"/>
      <c r="O141" s="30"/>
    </row>
    <row r="142" spans="1:15" ht="15.75">
      <c r="A142" s="27"/>
      <c r="B142" s="17"/>
      <c r="C142" s="18"/>
      <c r="D142" s="18"/>
      <c r="E142" s="17"/>
      <c r="F142" s="19"/>
      <c r="G142" s="47"/>
      <c r="H142" s="44"/>
      <c r="I142" s="43"/>
      <c r="J142" s="61"/>
      <c r="K142" s="55"/>
      <c r="L142" s="20"/>
      <c r="M142" s="21"/>
      <c r="N142" s="22"/>
      <c r="O142" s="30"/>
    </row>
    <row r="143" spans="1:15" ht="15.75">
      <c r="A143" s="27"/>
      <c r="B143" s="17"/>
      <c r="C143" s="18"/>
      <c r="D143" s="18"/>
      <c r="E143" s="17"/>
      <c r="F143" s="19"/>
      <c r="G143" s="47"/>
      <c r="H143" s="44"/>
      <c r="I143" s="43"/>
      <c r="J143" s="61"/>
      <c r="K143" s="55"/>
      <c r="L143" s="20"/>
      <c r="M143" s="21"/>
      <c r="N143" s="22"/>
      <c r="O143" s="30"/>
    </row>
    <row r="144" spans="1:15" ht="15.75">
      <c r="A144" s="27">
        <v>46</v>
      </c>
      <c r="B144" s="17">
        <v>225074809</v>
      </c>
      <c r="C144" s="18" t="s">
        <v>99</v>
      </c>
      <c r="D144" s="18" t="s">
        <v>100</v>
      </c>
      <c r="E144" s="17" t="s">
        <v>13</v>
      </c>
      <c r="F144" s="19">
        <v>8.1</v>
      </c>
      <c r="G144" s="47"/>
      <c r="H144" s="44"/>
      <c r="I144" s="43">
        <v>12</v>
      </c>
      <c r="J144" s="61">
        <f>(F144+G144+H144+I144)*20/39</f>
        <v>10.307692307692308</v>
      </c>
      <c r="K144" s="55">
        <v>28.8</v>
      </c>
      <c r="L144" s="20">
        <f t="shared" si="4"/>
        <v>39.107692307692311</v>
      </c>
      <c r="M144" s="21"/>
      <c r="N144" s="22"/>
      <c r="O144" s="30"/>
    </row>
    <row r="145" spans="1:15" ht="15.75">
      <c r="A145" s="27"/>
      <c r="B145" s="17"/>
      <c r="C145" s="18"/>
      <c r="D145" s="18"/>
      <c r="E145" s="17"/>
      <c r="F145" s="19"/>
      <c r="G145" s="47"/>
      <c r="H145" s="44"/>
      <c r="I145" s="43"/>
      <c r="J145" s="61"/>
      <c r="K145" s="55"/>
      <c r="L145" s="20"/>
      <c r="M145" s="21"/>
      <c r="N145" s="22"/>
      <c r="O145" s="30"/>
    </row>
    <row r="146" spans="1:15" ht="15.75">
      <c r="A146" s="27"/>
      <c r="B146" s="17"/>
      <c r="C146" s="18"/>
      <c r="D146" s="18"/>
      <c r="E146" s="17"/>
      <c r="F146" s="19"/>
      <c r="G146" s="47"/>
      <c r="H146" s="44"/>
      <c r="I146" s="43"/>
      <c r="J146" s="61"/>
      <c r="K146" s="55"/>
      <c r="L146" s="20"/>
      <c r="M146" s="21"/>
      <c r="N146" s="22"/>
      <c r="O146" s="30"/>
    </row>
    <row r="147" spans="1:15" ht="15.75">
      <c r="A147" s="27">
        <v>47</v>
      </c>
      <c r="B147" s="17">
        <v>225058730</v>
      </c>
      <c r="C147" s="18" t="s">
        <v>101</v>
      </c>
      <c r="D147" s="18" t="s">
        <v>102</v>
      </c>
      <c r="E147" s="17" t="s">
        <v>13</v>
      </c>
      <c r="F147" s="19">
        <v>7.4</v>
      </c>
      <c r="G147" s="47">
        <v>11</v>
      </c>
      <c r="H147" s="44">
        <v>5</v>
      </c>
      <c r="I147" s="43">
        <v>12</v>
      </c>
      <c r="J147" s="61">
        <f>(F147+G147+H147+I147)*20/39</f>
        <v>18.153846153846153</v>
      </c>
      <c r="K147" s="55">
        <v>21.3</v>
      </c>
      <c r="L147" s="20">
        <f t="shared" si="4"/>
        <v>39.453846153846158</v>
      </c>
      <c r="M147" s="21"/>
      <c r="N147" s="22"/>
      <c r="O147" s="30"/>
    </row>
    <row r="148" spans="1:15" ht="15.75">
      <c r="A148" s="27"/>
      <c r="B148" s="17"/>
      <c r="C148" s="18"/>
      <c r="D148" s="18"/>
      <c r="E148" s="17"/>
      <c r="F148" s="19"/>
      <c r="G148" s="47"/>
      <c r="H148" s="44"/>
      <c r="I148" s="43"/>
      <c r="J148" s="61"/>
      <c r="K148" s="55"/>
      <c r="L148" s="20"/>
      <c r="M148" s="21"/>
      <c r="N148" s="22"/>
      <c r="O148" s="30"/>
    </row>
    <row r="149" spans="1:15" ht="15.75">
      <c r="A149" s="27"/>
      <c r="B149" s="17"/>
      <c r="C149" s="18"/>
      <c r="D149" s="18"/>
      <c r="E149" s="17"/>
      <c r="F149" s="19"/>
      <c r="G149" s="47"/>
      <c r="H149" s="44"/>
      <c r="I149" s="43"/>
      <c r="J149" s="61"/>
      <c r="K149" s="55"/>
      <c r="L149" s="20"/>
      <c r="M149" s="21"/>
      <c r="N149" s="22"/>
      <c r="O149" s="30"/>
    </row>
    <row r="150" spans="1:15" ht="15.75">
      <c r="A150" s="27">
        <v>48</v>
      </c>
      <c r="B150" s="17">
        <v>225062398</v>
      </c>
      <c r="C150" s="18" t="s">
        <v>101</v>
      </c>
      <c r="D150" s="18" t="s">
        <v>103</v>
      </c>
      <c r="E150" s="17" t="s">
        <v>13</v>
      </c>
      <c r="F150" s="19">
        <v>8.3000000000000007</v>
      </c>
      <c r="G150" s="47"/>
      <c r="H150" s="44"/>
      <c r="I150" s="43">
        <v>12</v>
      </c>
      <c r="J150" s="61">
        <f>(F150+G150+H150+I150)*20/39</f>
        <v>10.410256410256411</v>
      </c>
      <c r="K150" s="55">
        <v>21.7</v>
      </c>
      <c r="L150" s="20">
        <f t="shared" si="4"/>
        <v>32.110256410256412</v>
      </c>
      <c r="M150" s="21"/>
      <c r="N150" s="22"/>
      <c r="O150" s="30"/>
    </row>
    <row r="151" spans="1:15" ht="15.75">
      <c r="A151" s="27"/>
      <c r="B151" s="17"/>
      <c r="C151" s="18"/>
      <c r="D151" s="18"/>
      <c r="E151" s="17"/>
      <c r="F151" s="19"/>
      <c r="G151" s="47"/>
      <c r="H151" s="44"/>
      <c r="I151" s="43"/>
      <c r="J151" s="61"/>
      <c r="K151" s="55"/>
      <c r="L151" s="20"/>
      <c r="M151" s="21"/>
      <c r="N151" s="22"/>
      <c r="O151" s="30"/>
    </row>
    <row r="152" spans="1:15" ht="15.75">
      <c r="A152" s="27"/>
      <c r="B152" s="17"/>
      <c r="C152" s="18"/>
      <c r="D152" s="18"/>
      <c r="E152" s="17"/>
      <c r="F152" s="19"/>
      <c r="G152" s="47"/>
      <c r="H152" s="44"/>
      <c r="I152" s="43"/>
      <c r="J152" s="61"/>
      <c r="K152" s="55"/>
      <c r="L152" s="20"/>
      <c r="M152" s="21"/>
      <c r="N152" s="22"/>
      <c r="O152" s="30"/>
    </row>
    <row r="153" spans="1:15" ht="15.75">
      <c r="A153" s="27">
        <v>49</v>
      </c>
      <c r="B153" s="17">
        <v>225040484</v>
      </c>
      <c r="C153" s="18" t="s">
        <v>104</v>
      </c>
      <c r="D153" s="18" t="s">
        <v>105</v>
      </c>
      <c r="E153" s="17" t="s">
        <v>13</v>
      </c>
      <c r="F153" s="19">
        <v>8.1999999999999993</v>
      </c>
      <c r="G153" s="47"/>
      <c r="H153" s="44"/>
      <c r="I153" s="43">
        <v>12</v>
      </c>
      <c r="J153" s="61">
        <f>(F153+G153+H153+I153)*20/39</f>
        <v>10.358974358974359</v>
      </c>
      <c r="K153" s="55">
        <v>21.3</v>
      </c>
      <c r="L153" s="20">
        <f t="shared" si="4"/>
        <v>31.658974358974362</v>
      </c>
      <c r="M153" s="21"/>
      <c r="N153" s="22"/>
      <c r="O153" s="30"/>
    </row>
    <row r="154" spans="1:15" ht="15.75">
      <c r="A154" s="27"/>
      <c r="B154" s="17"/>
      <c r="C154" s="18"/>
      <c r="D154" s="18"/>
      <c r="E154" s="17"/>
      <c r="F154" s="19"/>
      <c r="G154" s="47"/>
      <c r="H154" s="44"/>
      <c r="I154" s="43"/>
      <c r="J154" s="61"/>
      <c r="K154" s="55"/>
      <c r="L154" s="20"/>
      <c r="M154" s="21"/>
      <c r="N154" s="22"/>
      <c r="O154" s="30"/>
    </row>
    <row r="155" spans="1:15" ht="15.75">
      <c r="A155" s="27"/>
      <c r="B155" s="17"/>
      <c r="C155" s="18"/>
      <c r="D155" s="18"/>
      <c r="E155" s="17"/>
      <c r="F155" s="19"/>
      <c r="G155" s="47"/>
      <c r="H155" s="44"/>
      <c r="I155" s="43"/>
      <c r="J155" s="61"/>
      <c r="K155" s="55"/>
      <c r="L155" s="20"/>
      <c r="M155" s="21"/>
      <c r="N155" s="22"/>
      <c r="O155" s="30"/>
    </row>
    <row r="156" spans="1:15" ht="15.75">
      <c r="A156" s="27">
        <v>50</v>
      </c>
      <c r="B156" s="17">
        <v>225032421</v>
      </c>
      <c r="C156" s="18" t="s">
        <v>106</v>
      </c>
      <c r="D156" s="18" t="s">
        <v>107</v>
      </c>
      <c r="E156" s="17" t="s">
        <v>13</v>
      </c>
      <c r="F156" s="19">
        <v>8.1999999999999993</v>
      </c>
      <c r="G156" s="47"/>
      <c r="H156" s="44"/>
      <c r="I156" s="43">
        <v>12</v>
      </c>
      <c r="J156" s="61">
        <f>(F156+G156+H156+I156)*20/39</f>
        <v>10.358974358974359</v>
      </c>
      <c r="K156" s="55">
        <v>16.5</v>
      </c>
      <c r="L156" s="20">
        <f t="shared" si="4"/>
        <v>26.858974358974358</v>
      </c>
      <c r="M156" s="21"/>
      <c r="N156" s="22"/>
      <c r="O156" s="30"/>
    </row>
    <row r="157" spans="1:15" ht="15.75">
      <c r="A157" s="27"/>
      <c r="B157" s="17"/>
      <c r="C157" s="18"/>
      <c r="D157" s="18"/>
      <c r="E157" s="17"/>
      <c r="F157" s="19"/>
      <c r="G157" s="47"/>
      <c r="H157" s="44"/>
      <c r="I157" s="43"/>
      <c r="J157" s="61"/>
      <c r="K157" s="55"/>
      <c r="L157" s="20"/>
      <c r="M157" s="21"/>
      <c r="N157" s="22"/>
      <c r="O157" s="30"/>
    </row>
    <row r="158" spans="1:15" ht="15.75">
      <c r="A158" s="27"/>
      <c r="B158" s="17"/>
      <c r="C158" s="18"/>
      <c r="D158" s="18"/>
      <c r="E158" s="17"/>
      <c r="F158" s="19"/>
      <c r="G158" s="47"/>
      <c r="H158" s="44"/>
      <c r="I158" s="43"/>
      <c r="J158" s="61"/>
      <c r="K158" s="55"/>
      <c r="L158" s="20"/>
      <c r="M158" s="21"/>
      <c r="N158" s="22"/>
      <c r="O158" s="30"/>
    </row>
    <row r="159" spans="1:15" ht="15.75">
      <c r="A159" s="27">
        <v>51</v>
      </c>
      <c r="B159" s="17">
        <v>225046003</v>
      </c>
      <c r="C159" s="18" t="s">
        <v>108</v>
      </c>
      <c r="D159" s="18" t="s">
        <v>109</v>
      </c>
      <c r="E159" s="17" t="s">
        <v>13</v>
      </c>
      <c r="F159" s="19">
        <v>8</v>
      </c>
      <c r="G159" s="47"/>
      <c r="H159" s="44"/>
      <c r="I159" s="43">
        <v>6</v>
      </c>
      <c r="J159" s="61">
        <f>(F159+G159+H159+I159)*20/39</f>
        <v>7.1794871794871797</v>
      </c>
      <c r="K159" s="63"/>
      <c r="L159" s="20">
        <f t="shared" si="4"/>
        <v>7.1794871794871797</v>
      </c>
      <c r="M159" s="21"/>
      <c r="N159" s="22"/>
      <c r="O159" s="30"/>
    </row>
    <row r="160" spans="1:15" ht="15.75">
      <c r="A160" s="27"/>
      <c r="B160" s="17"/>
      <c r="C160" s="18"/>
      <c r="D160" s="18"/>
      <c r="E160" s="17"/>
      <c r="F160" s="19"/>
      <c r="G160" s="47"/>
      <c r="H160" s="44"/>
      <c r="I160" s="43"/>
      <c r="J160" s="61"/>
      <c r="K160" s="55"/>
      <c r="L160" s="20"/>
      <c r="M160" s="21"/>
      <c r="N160" s="22"/>
      <c r="O160" s="30"/>
    </row>
    <row r="161" spans="1:15" ht="15.75">
      <c r="A161" s="27"/>
      <c r="B161" s="17"/>
      <c r="C161" s="18"/>
      <c r="D161" s="18"/>
      <c r="E161" s="17"/>
      <c r="F161" s="19"/>
      <c r="G161" s="47"/>
      <c r="H161" s="44"/>
      <c r="I161" s="43"/>
      <c r="J161" s="61"/>
      <c r="K161" s="55"/>
      <c r="L161" s="20"/>
      <c r="M161" s="21"/>
      <c r="N161" s="22"/>
      <c r="O161" s="30"/>
    </row>
    <row r="162" spans="1:15" ht="15.75">
      <c r="A162" s="27">
        <v>52</v>
      </c>
      <c r="B162" s="17">
        <v>225034392</v>
      </c>
      <c r="C162" s="18" t="s">
        <v>110</v>
      </c>
      <c r="D162" s="18" t="s">
        <v>111</v>
      </c>
      <c r="E162" s="17" t="s">
        <v>20</v>
      </c>
      <c r="F162" s="19">
        <v>8</v>
      </c>
      <c r="G162" s="47"/>
      <c r="H162" s="44"/>
      <c r="I162" s="43">
        <v>12</v>
      </c>
      <c r="J162" s="61">
        <f>(F162+G162+H162+I162)*20/39</f>
        <v>10.256410256410257</v>
      </c>
      <c r="K162" s="55">
        <v>20.2</v>
      </c>
      <c r="L162" s="20">
        <f t="shared" si="4"/>
        <v>30.456410256410258</v>
      </c>
      <c r="M162" s="21"/>
      <c r="N162" s="22"/>
      <c r="O162" s="30"/>
    </row>
    <row r="163" spans="1:15" ht="15.75">
      <c r="A163" s="27"/>
      <c r="B163" s="17"/>
      <c r="C163" s="18"/>
      <c r="D163" s="18"/>
      <c r="E163" s="17"/>
      <c r="F163" s="19"/>
      <c r="G163" s="47"/>
      <c r="H163" s="44"/>
      <c r="I163" s="43"/>
      <c r="J163" s="61"/>
      <c r="K163" s="55"/>
      <c r="L163" s="20"/>
      <c r="M163" s="21"/>
      <c r="N163" s="22"/>
      <c r="O163" s="30"/>
    </row>
    <row r="164" spans="1:15" ht="15.75">
      <c r="A164" s="27"/>
      <c r="B164" s="17"/>
      <c r="C164" s="18"/>
      <c r="D164" s="18"/>
      <c r="E164" s="17"/>
      <c r="F164" s="19"/>
      <c r="G164" s="47"/>
      <c r="H164" s="44"/>
      <c r="I164" s="43"/>
      <c r="J164" s="61"/>
      <c r="K164" s="55"/>
      <c r="L164" s="20"/>
      <c r="M164" s="21"/>
      <c r="N164" s="22"/>
      <c r="O164" s="30"/>
    </row>
    <row r="165" spans="1:15" ht="15.75">
      <c r="A165" s="27">
        <v>53</v>
      </c>
      <c r="B165" s="17">
        <v>225068272</v>
      </c>
      <c r="C165" s="18" t="s">
        <v>112</v>
      </c>
      <c r="D165" s="18" t="s">
        <v>113</v>
      </c>
      <c r="E165" s="17" t="s">
        <v>13</v>
      </c>
      <c r="F165" s="19"/>
      <c r="G165" s="47"/>
      <c r="H165" s="44"/>
      <c r="I165" s="43">
        <v>12</v>
      </c>
      <c r="J165" s="61">
        <f>(F165+G165+H165+I165)*20/39</f>
        <v>6.1538461538461542</v>
      </c>
      <c r="K165" s="63"/>
      <c r="L165" s="20">
        <f t="shared" si="4"/>
        <v>6.1538461538461542</v>
      </c>
      <c r="M165" s="21"/>
      <c r="N165" s="22"/>
      <c r="O165" s="30"/>
    </row>
    <row r="166" spans="1:15" ht="15.75">
      <c r="A166" s="27"/>
      <c r="B166" s="17"/>
      <c r="C166" s="18"/>
      <c r="D166" s="18"/>
      <c r="E166" s="17"/>
      <c r="F166" s="19"/>
      <c r="G166" s="47"/>
      <c r="H166" s="44"/>
      <c r="I166" s="43"/>
      <c r="J166" s="61"/>
      <c r="K166" s="55"/>
      <c r="L166" s="20"/>
      <c r="M166" s="21"/>
      <c r="N166" s="22"/>
      <c r="O166" s="30"/>
    </row>
    <row r="167" spans="1:15" ht="15.75">
      <c r="A167" s="27"/>
      <c r="B167" s="17"/>
      <c r="C167" s="18"/>
      <c r="D167" s="18"/>
      <c r="E167" s="17"/>
      <c r="F167" s="19"/>
      <c r="G167" s="47"/>
      <c r="H167" s="44"/>
      <c r="I167" s="43"/>
      <c r="J167" s="61"/>
      <c r="K167" s="55"/>
      <c r="L167" s="20"/>
      <c r="M167" s="21"/>
      <c r="N167" s="22"/>
      <c r="O167" s="30"/>
    </row>
    <row r="168" spans="1:15" ht="15.75">
      <c r="A168" s="27">
        <v>54</v>
      </c>
      <c r="B168" s="17">
        <v>225057022</v>
      </c>
      <c r="C168" s="18" t="s">
        <v>114</v>
      </c>
      <c r="D168" s="18" t="s">
        <v>115</v>
      </c>
      <c r="E168" s="17" t="s">
        <v>13</v>
      </c>
      <c r="F168" s="19">
        <v>8.4</v>
      </c>
      <c r="G168" s="47"/>
      <c r="H168" s="44"/>
      <c r="I168" s="43"/>
      <c r="J168" s="61">
        <f>(F168+G168+H168+I168)*20/39</f>
        <v>4.3076923076923075</v>
      </c>
      <c r="K168" s="55">
        <v>23.3</v>
      </c>
      <c r="L168" s="20">
        <f t="shared" si="4"/>
        <v>27.607692307692307</v>
      </c>
      <c r="M168" s="21"/>
      <c r="N168" s="22"/>
      <c r="O168" s="30"/>
    </row>
    <row r="169" spans="1:15" ht="15.75">
      <c r="A169" s="27"/>
      <c r="B169" s="17"/>
      <c r="C169" s="18"/>
      <c r="D169" s="18"/>
      <c r="E169" s="17"/>
      <c r="F169" s="19"/>
      <c r="G169" s="47"/>
      <c r="H169" s="44"/>
      <c r="I169" s="43"/>
      <c r="J169" s="61"/>
      <c r="K169" s="55"/>
      <c r="L169" s="20"/>
      <c r="M169" s="21"/>
      <c r="N169" s="22"/>
      <c r="O169" s="30"/>
    </row>
    <row r="170" spans="1:15" ht="15.75">
      <c r="A170" s="23"/>
      <c r="B170" s="17"/>
      <c r="C170" s="18"/>
      <c r="D170" s="23"/>
      <c r="E170" s="17"/>
      <c r="F170" s="45"/>
      <c r="G170" s="17"/>
      <c r="H170" s="52"/>
      <c r="I170" s="60"/>
      <c r="J170" s="61"/>
      <c r="K170" s="38"/>
      <c r="L170" s="20"/>
      <c r="M170" s="21"/>
      <c r="N170" s="36"/>
      <c r="O170" s="23"/>
    </row>
    <row r="171" spans="1:15" ht="15.75">
      <c r="A171" s="26">
        <v>55</v>
      </c>
      <c r="B171" s="17">
        <v>225052828</v>
      </c>
      <c r="C171" s="18" t="s">
        <v>116</v>
      </c>
      <c r="D171" s="26" t="s">
        <v>117</v>
      </c>
      <c r="E171" s="17" t="s">
        <v>20</v>
      </c>
      <c r="F171" s="46">
        <v>8.3000000000000007</v>
      </c>
      <c r="G171" s="47"/>
      <c r="H171" s="52"/>
      <c r="I171" s="34">
        <v>11</v>
      </c>
      <c r="J171" s="61">
        <f>(F171+G171+H171+I171)*20/39</f>
        <v>9.8974358974358978</v>
      </c>
      <c r="K171" s="38">
        <v>22.5</v>
      </c>
      <c r="L171" s="20">
        <f t="shared" si="4"/>
        <v>32.397435897435898</v>
      </c>
      <c r="M171" s="21"/>
      <c r="N171" s="36"/>
      <c r="O171" s="26"/>
    </row>
    <row r="172" spans="1:15" ht="15.75">
      <c r="A172" s="23"/>
      <c r="B172" s="17"/>
      <c r="C172" s="18"/>
      <c r="D172" s="23"/>
      <c r="E172" s="17"/>
      <c r="F172" s="46"/>
      <c r="G172" s="48"/>
      <c r="H172" s="52"/>
      <c r="I172" s="34"/>
      <c r="J172" s="61"/>
      <c r="K172" s="38"/>
      <c r="L172" s="20"/>
      <c r="M172" s="21"/>
      <c r="N172" s="36"/>
      <c r="O172" s="23"/>
    </row>
    <row r="173" spans="1:15" ht="15.75">
      <c r="A173" s="26"/>
      <c r="B173" s="17"/>
      <c r="C173" s="18"/>
      <c r="D173" s="26"/>
      <c r="E173" s="17"/>
      <c r="F173" s="46"/>
      <c r="G173" s="47"/>
      <c r="H173" s="52"/>
      <c r="I173" s="34"/>
      <c r="J173" s="61"/>
      <c r="K173" s="38"/>
      <c r="L173" s="20"/>
      <c r="M173" s="21"/>
      <c r="N173" s="36"/>
      <c r="O173" s="26"/>
    </row>
    <row r="174" spans="1:15" ht="15.75">
      <c r="A174" s="23">
        <v>56</v>
      </c>
      <c r="B174" s="17">
        <v>225034115</v>
      </c>
      <c r="C174" s="18" t="s">
        <v>118</v>
      </c>
      <c r="D174" s="62" t="s">
        <v>119</v>
      </c>
      <c r="E174" s="17" t="s">
        <v>13</v>
      </c>
      <c r="F174" s="46">
        <v>7.6</v>
      </c>
      <c r="G174" s="48"/>
      <c r="H174" s="52"/>
      <c r="I174" s="34">
        <v>12</v>
      </c>
      <c r="J174" s="61">
        <f>(F174+G174+H174+I174)*20/39</f>
        <v>10.051282051282051</v>
      </c>
      <c r="K174" s="38">
        <v>21.3</v>
      </c>
      <c r="L174" s="20">
        <f t="shared" si="4"/>
        <v>31.351282051282052</v>
      </c>
      <c r="M174" s="21"/>
      <c r="N174" s="36"/>
      <c r="O174" s="23"/>
    </row>
    <row r="175" spans="1:15" ht="15.75">
      <c r="A175" s="26"/>
      <c r="B175" s="17"/>
      <c r="C175" s="18"/>
      <c r="D175" s="26"/>
      <c r="E175" s="17"/>
      <c r="F175" s="46"/>
      <c r="G175" s="47"/>
      <c r="H175" s="52"/>
      <c r="I175" s="34"/>
      <c r="J175" s="61"/>
      <c r="K175" s="38"/>
      <c r="L175" s="20"/>
      <c r="M175" s="21"/>
      <c r="N175" s="36"/>
      <c r="O175" s="26"/>
    </row>
    <row r="176" spans="1:15" ht="15.75">
      <c r="A176" s="23"/>
      <c r="B176" s="17"/>
      <c r="C176" s="18"/>
      <c r="D176" s="23"/>
      <c r="E176" s="17"/>
      <c r="F176" s="46"/>
      <c r="G176" s="48"/>
      <c r="H176" s="52"/>
      <c r="I176" s="34"/>
      <c r="J176" s="61"/>
      <c r="K176" s="38"/>
      <c r="L176" s="20"/>
      <c r="M176" s="21"/>
      <c r="N176" s="36"/>
      <c r="O176" s="23"/>
    </row>
    <row r="177" spans="1:15" ht="15.75">
      <c r="A177" s="26">
        <v>57</v>
      </c>
      <c r="B177" s="17">
        <v>225064868</v>
      </c>
      <c r="C177" s="18" t="s">
        <v>118</v>
      </c>
      <c r="D177" s="26" t="s">
        <v>120</v>
      </c>
      <c r="E177" s="17" t="s">
        <v>20</v>
      </c>
      <c r="F177" s="46">
        <v>8.4</v>
      </c>
      <c r="G177" s="47">
        <v>11</v>
      </c>
      <c r="H177" s="52">
        <v>3.5</v>
      </c>
      <c r="I177" s="34">
        <v>12</v>
      </c>
      <c r="J177" s="61">
        <f>(F177+G177+H177+I177)*20/39</f>
        <v>17.897435897435898</v>
      </c>
      <c r="K177" s="38">
        <v>21.6</v>
      </c>
      <c r="L177" s="20">
        <f t="shared" si="4"/>
        <v>39.497435897435899</v>
      </c>
      <c r="M177" s="21"/>
      <c r="N177" s="36"/>
      <c r="O177" s="26"/>
    </row>
    <row r="178" spans="1:15" ht="15.75">
      <c r="A178" s="23"/>
      <c r="B178" s="17"/>
      <c r="C178" s="18"/>
      <c r="D178" s="23"/>
      <c r="E178" s="17"/>
      <c r="F178" s="46"/>
      <c r="G178" s="48"/>
      <c r="H178" s="52"/>
      <c r="I178" s="34"/>
      <c r="J178" s="61"/>
      <c r="K178" s="38"/>
      <c r="L178" s="20"/>
      <c r="M178" s="21"/>
      <c r="N178" s="36"/>
      <c r="O178" s="23"/>
    </row>
    <row r="179" spans="1:15" ht="15.75">
      <c r="A179" s="26"/>
      <c r="B179" s="17"/>
      <c r="C179" s="18"/>
      <c r="D179" s="26"/>
      <c r="E179" s="17"/>
      <c r="F179" s="46"/>
      <c r="G179" s="47"/>
      <c r="H179" s="52"/>
      <c r="I179" s="34"/>
      <c r="J179" s="61"/>
      <c r="K179" s="38"/>
      <c r="L179" s="20"/>
      <c r="M179" s="21"/>
      <c r="N179" s="36"/>
      <c r="O179" s="26"/>
    </row>
    <row r="180" spans="1:15" ht="15.75">
      <c r="A180" s="34">
        <v>58</v>
      </c>
      <c r="B180" s="21">
        <v>225082738</v>
      </c>
      <c r="C180" s="33" t="s">
        <v>121</v>
      </c>
      <c r="D180" s="21" t="s">
        <v>122</v>
      </c>
      <c r="E180" s="36" t="s">
        <v>13</v>
      </c>
      <c r="F180" s="38">
        <v>7.8</v>
      </c>
      <c r="G180" s="49">
        <v>11</v>
      </c>
      <c r="H180" s="42">
        <v>4</v>
      </c>
      <c r="I180" s="49">
        <v>12</v>
      </c>
      <c r="J180" s="61">
        <f>(F180+G180+H180+I180)*20/39</f>
        <v>17.846153846153847</v>
      </c>
      <c r="K180" s="38">
        <v>15.2</v>
      </c>
      <c r="L180" s="20">
        <f t="shared" si="4"/>
        <v>33.046153846153842</v>
      </c>
      <c r="M180" s="21"/>
      <c r="N180" s="36"/>
      <c r="O180" s="23"/>
    </row>
    <row r="181" spans="1:15" ht="15.75">
      <c r="A181" s="34"/>
      <c r="B181" s="21"/>
      <c r="C181" s="33"/>
      <c r="D181" s="21"/>
      <c r="E181" s="36"/>
      <c r="F181" s="38"/>
      <c r="G181" s="49"/>
      <c r="H181" s="42"/>
      <c r="I181" s="49"/>
      <c r="J181" s="61"/>
      <c r="K181" s="38"/>
      <c r="L181" s="20"/>
      <c r="M181" s="21"/>
      <c r="N181" s="36"/>
      <c r="O181" s="26"/>
    </row>
    <row r="182" spans="1:15" ht="15.75">
      <c r="A182" s="34"/>
      <c r="B182" s="21"/>
      <c r="C182" s="33"/>
      <c r="D182" s="21"/>
      <c r="E182" s="36"/>
      <c r="F182" s="38"/>
      <c r="G182" s="49"/>
      <c r="H182" s="42"/>
      <c r="I182" s="49"/>
      <c r="J182" s="61"/>
      <c r="K182" s="38"/>
      <c r="L182" s="20"/>
      <c r="M182" s="21"/>
      <c r="N182" s="36"/>
      <c r="O182" s="23"/>
    </row>
    <row r="183" spans="1:15" ht="15.75">
      <c r="A183" s="26">
        <v>59</v>
      </c>
      <c r="B183" s="17">
        <v>225027977</v>
      </c>
      <c r="C183" s="18" t="s">
        <v>123</v>
      </c>
      <c r="D183" s="26" t="s">
        <v>124</v>
      </c>
      <c r="E183" s="17" t="s">
        <v>20</v>
      </c>
      <c r="F183" s="46">
        <v>8.4</v>
      </c>
      <c r="G183" s="47"/>
      <c r="H183" s="52"/>
      <c r="I183" s="34">
        <v>12</v>
      </c>
      <c r="J183" s="61">
        <f>(F183+G183+H183+I183)*20/39</f>
        <v>10.461538461538462</v>
      </c>
      <c r="K183" s="38">
        <v>23.3</v>
      </c>
      <c r="L183" s="20">
        <f t="shared" si="4"/>
        <v>33.761538461538464</v>
      </c>
      <c r="M183" s="21"/>
      <c r="N183" s="36"/>
      <c r="O183" s="26"/>
    </row>
    <row r="184" spans="1:15" ht="15.75">
      <c r="A184" s="23"/>
      <c r="B184" s="17"/>
      <c r="C184" s="18"/>
      <c r="D184" s="23"/>
      <c r="E184" s="17"/>
      <c r="F184" s="46"/>
      <c r="G184" s="48"/>
      <c r="H184" s="52"/>
      <c r="I184" s="34"/>
      <c r="J184" s="61"/>
      <c r="K184" s="38"/>
      <c r="L184" s="20"/>
      <c r="M184" s="21"/>
      <c r="N184" s="36"/>
      <c r="O184" s="23"/>
    </row>
    <row r="185" spans="1:15" ht="15.75">
      <c r="A185" s="26"/>
      <c r="B185" s="17"/>
      <c r="C185" s="18"/>
      <c r="D185" s="26"/>
      <c r="E185" s="17"/>
      <c r="F185" s="46"/>
      <c r="G185" s="47"/>
      <c r="H185" s="52"/>
      <c r="I185" s="34"/>
      <c r="J185" s="61"/>
      <c r="K185" s="38"/>
      <c r="L185" s="20"/>
      <c r="M185" s="21"/>
      <c r="N185" s="36"/>
      <c r="O185" s="26"/>
    </row>
    <row r="186" spans="1:15" ht="15.75">
      <c r="A186" s="23">
        <v>60</v>
      </c>
      <c r="B186" s="17">
        <v>225072276</v>
      </c>
      <c r="C186" s="18" t="s">
        <v>125</v>
      </c>
      <c r="D186" s="62" t="s">
        <v>126</v>
      </c>
      <c r="E186" s="17" t="s">
        <v>20</v>
      </c>
      <c r="F186" s="46">
        <v>8.4</v>
      </c>
      <c r="G186" s="48">
        <v>11</v>
      </c>
      <c r="H186" s="52">
        <v>5</v>
      </c>
      <c r="I186" s="34">
        <v>12</v>
      </c>
      <c r="J186" s="61">
        <f>(F186+G186+H186+I186)*20/39</f>
        <v>18.666666666666668</v>
      </c>
      <c r="K186" s="38">
        <v>25.8</v>
      </c>
      <c r="L186" s="20">
        <f t="shared" si="4"/>
        <v>44.466666666666669</v>
      </c>
      <c r="M186" s="21"/>
      <c r="N186" s="36"/>
      <c r="O186" s="23"/>
    </row>
    <row r="187" spans="1:15" ht="15.75">
      <c r="A187" s="26"/>
      <c r="B187" s="17"/>
      <c r="C187" s="18"/>
      <c r="D187" s="26"/>
      <c r="E187" s="17"/>
      <c r="F187" s="46"/>
      <c r="G187" s="47"/>
      <c r="H187" s="52"/>
      <c r="I187" s="34"/>
      <c r="J187" s="61"/>
      <c r="K187" s="38"/>
      <c r="L187" s="20"/>
      <c r="M187" s="21"/>
      <c r="N187" s="36"/>
      <c r="O187" s="26"/>
    </row>
    <row r="188" spans="1:15" ht="15.75">
      <c r="A188" s="23"/>
      <c r="B188" s="17"/>
      <c r="C188" s="18"/>
      <c r="D188" s="23"/>
      <c r="E188" s="17"/>
      <c r="F188" s="46"/>
      <c r="G188" s="48"/>
      <c r="H188" s="52"/>
      <c r="I188" s="34"/>
      <c r="J188" s="61"/>
      <c r="K188" s="38"/>
      <c r="L188" s="20"/>
      <c r="M188" s="21"/>
      <c r="N188" s="36"/>
      <c r="O188" s="23"/>
    </row>
    <row r="189" spans="1:15" ht="15.75">
      <c r="A189" s="26">
        <v>61</v>
      </c>
      <c r="B189" s="17">
        <v>225068680</v>
      </c>
      <c r="C189" s="18" t="s">
        <v>127</v>
      </c>
      <c r="D189" s="26" t="s">
        <v>128</v>
      </c>
      <c r="E189" s="17" t="s">
        <v>20</v>
      </c>
      <c r="F189" s="46"/>
      <c r="G189" s="47"/>
      <c r="H189" s="52"/>
      <c r="I189" s="34">
        <v>12</v>
      </c>
      <c r="J189" s="61">
        <f>(F189+G189+H189+I189)*20/39</f>
        <v>6.1538461538461542</v>
      </c>
      <c r="K189" s="38">
        <v>18.5</v>
      </c>
      <c r="L189" s="20">
        <f t="shared" si="4"/>
        <v>24.653846153846153</v>
      </c>
      <c r="M189" s="21"/>
      <c r="N189" s="36"/>
      <c r="O189" s="26"/>
    </row>
    <row r="190" spans="1:15" ht="15.75">
      <c r="A190" s="23"/>
      <c r="B190" s="17"/>
      <c r="C190" s="18"/>
      <c r="D190" s="23"/>
      <c r="E190" s="17"/>
      <c r="F190" s="46"/>
      <c r="G190" s="48"/>
      <c r="H190" s="52"/>
      <c r="I190" s="34"/>
      <c r="J190" s="61"/>
      <c r="K190" s="38"/>
      <c r="L190" s="20"/>
      <c r="M190" s="21"/>
      <c r="N190" s="36"/>
      <c r="O190" s="23"/>
    </row>
    <row r="191" spans="1:15" ht="15.75">
      <c r="A191" s="26"/>
      <c r="B191" s="17"/>
      <c r="C191" s="18"/>
      <c r="D191" s="26"/>
      <c r="E191" s="17"/>
      <c r="F191" s="46"/>
      <c r="G191" s="47"/>
      <c r="H191" s="52"/>
      <c r="I191" s="34"/>
      <c r="J191" s="61"/>
      <c r="K191" s="38"/>
      <c r="L191" s="20"/>
      <c r="M191" s="21"/>
      <c r="N191" s="36"/>
      <c r="O191" s="26"/>
    </row>
    <row r="192" spans="1:15" ht="15.75">
      <c r="A192" s="23">
        <v>62</v>
      </c>
      <c r="B192" s="17">
        <v>225032923</v>
      </c>
      <c r="C192" s="18" t="s">
        <v>129</v>
      </c>
      <c r="D192" s="23" t="s">
        <v>59</v>
      </c>
      <c r="E192" s="17" t="s">
        <v>20</v>
      </c>
      <c r="F192" s="46">
        <v>8</v>
      </c>
      <c r="G192" s="48"/>
      <c r="H192" s="52"/>
      <c r="I192" s="34">
        <v>12</v>
      </c>
      <c r="J192" s="61">
        <f>(F192+G192+H192+I192)*20/39</f>
        <v>10.256410256410257</v>
      </c>
      <c r="K192" s="38">
        <v>20.2</v>
      </c>
      <c r="L192" s="20">
        <f t="shared" si="4"/>
        <v>30.456410256410258</v>
      </c>
      <c r="M192" s="21"/>
      <c r="N192" s="36"/>
      <c r="O192" s="23"/>
    </row>
    <row r="193" spans="1:15" ht="15.75">
      <c r="A193" s="26"/>
      <c r="B193" s="17"/>
      <c r="C193" s="18"/>
      <c r="D193" s="26"/>
      <c r="E193" s="17"/>
      <c r="F193" s="46"/>
      <c r="G193" s="47"/>
      <c r="H193" s="52"/>
      <c r="I193" s="34"/>
      <c r="J193" s="61"/>
      <c r="K193" s="38"/>
      <c r="L193" s="20"/>
      <c r="M193" s="21"/>
      <c r="N193" s="36"/>
      <c r="O193" s="26"/>
    </row>
    <row r="194" spans="1:15" ht="15.75">
      <c r="A194" s="23"/>
      <c r="B194" s="17"/>
      <c r="C194" s="18"/>
      <c r="D194" s="23"/>
      <c r="E194" s="17"/>
      <c r="F194" s="46"/>
      <c r="G194" s="48"/>
      <c r="H194" s="52"/>
      <c r="I194" s="34"/>
      <c r="J194" s="61"/>
      <c r="K194" s="38"/>
      <c r="L194" s="20"/>
      <c r="M194" s="21"/>
      <c r="N194" s="36"/>
      <c r="O194" s="23"/>
    </row>
    <row r="195" spans="1:15" ht="15.75">
      <c r="A195" s="26">
        <v>63</v>
      </c>
      <c r="B195" s="17">
        <v>225044580</v>
      </c>
      <c r="C195" s="18" t="s">
        <v>130</v>
      </c>
      <c r="D195" s="26" t="s">
        <v>131</v>
      </c>
      <c r="E195" s="17" t="s">
        <v>13</v>
      </c>
      <c r="F195" s="46">
        <v>8</v>
      </c>
      <c r="G195" s="47"/>
      <c r="H195" s="52"/>
      <c r="I195" s="34">
        <v>12</v>
      </c>
      <c r="J195" s="61">
        <f>(F195+G195+H195+I195)*20/39</f>
        <v>10.256410256410257</v>
      </c>
      <c r="K195" s="38">
        <v>19.2</v>
      </c>
      <c r="L195" s="20">
        <f t="shared" si="4"/>
        <v>29.456410256410258</v>
      </c>
      <c r="M195" s="21"/>
      <c r="N195" s="36"/>
      <c r="O195" s="26"/>
    </row>
    <row r="196" spans="1:15" ht="15.75">
      <c r="A196" s="23"/>
      <c r="B196" s="17"/>
      <c r="C196" s="18"/>
      <c r="D196" s="23"/>
      <c r="E196" s="17"/>
      <c r="F196" s="46"/>
      <c r="G196" s="48"/>
      <c r="H196" s="52"/>
      <c r="I196" s="34"/>
      <c r="J196" s="61"/>
      <c r="K196" s="38"/>
      <c r="L196" s="20"/>
      <c r="M196" s="21"/>
      <c r="N196" s="36"/>
      <c r="O196" s="23"/>
    </row>
    <row r="197" spans="1:15" ht="15.75">
      <c r="A197" s="26"/>
      <c r="B197" s="17"/>
      <c r="C197" s="18"/>
      <c r="D197" s="26"/>
      <c r="E197" s="17"/>
      <c r="F197" s="46"/>
      <c r="G197" s="47"/>
      <c r="H197" s="52"/>
      <c r="I197" s="34"/>
      <c r="J197" s="61"/>
      <c r="K197" s="38"/>
      <c r="L197" s="20"/>
      <c r="M197" s="21"/>
      <c r="N197" s="36"/>
      <c r="O197" s="26"/>
    </row>
    <row r="198" spans="1:15" ht="15.75">
      <c r="A198" s="26">
        <v>64</v>
      </c>
      <c r="B198" s="17">
        <v>225050347</v>
      </c>
      <c r="C198" s="18" t="s">
        <v>132</v>
      </c>
      <c r="D198" s="26" t="s">
        <v>133</v>
      </c>
      <c r="E198" s="17" t="s">
        <v>20</v>
      </c>
      <c r="F198" s="46">
        <v>7.8</v>
      </c>
      <c r="G198" s="47"/>
      <c r="H198" s="52"/>
      <c r="I198" s="34">
        <v>12</v>
      </c>
      <c r="J198" s="61">
        <f>(F198+G198+H198+I198)*20/39</f>
        <v>10.153846153846153</v>
      </c>
      <c r="K198" s="38">
        <v>13.3</v>
      </c>
      <c r="L198" s="20">
        <f t="shared" si="4"/>
        <v>23.453846153846154</v>
      </c>
      <c r="M198" s="21"/>
      <c r="N198" s="36"/>
      <c r="O198" s="26"/>
    </row>
    <row r="199" spans="1:15" ht="15.75">
      <c r="A199" s="26"/>
      <c r="B199" s="17"/>
      <c r="C199" s="18"/>
      <c r="D199" s="26"/>
      <c r="E199" s="17"/>
      <c r="F199" s="46"/>
      <c r="G199" s="47"/>
      <c r="H199" s="52"/>
      <c r="I199" s="34"/>
      <c r="J199" s="37"/>
      <c r="K199" s="38"/>
      <c r="L199" s="20"/>
      <c r="M199" s="39"/>
      <c r="N199" s="36"/>
      <c r="O199" s="26"/>
    </row>
    <row r="200" spans="1:15" ht="15.75">
      <c r="A200" s="23"/>
      <c r="B200" s="17"/>
      <c r="C200" s="18"/>
      <c r="D200" s="23"/>
      <c r="E200" s="17"/>
      <c r="F200" s="46"/>
      <c r="G200" s="48"/>
      <c r="H200" s="52"/>
      <c r="I200" s="34"/>
      <c r="J200" s="37"/>
      <c r="K200" s="38"/>
      <c r="L200" s="35"/>
      <c r="M200" s="34"/>
      <c r="N200" s="36"/>
      <c r="O200" s="23"/>
    </row>
    <row r="201" spans="1:15" ht="15.75">
      <c r="A201" s="40"/>
      <c r="B201" s="5"/>
      <c r="C201" s="5"/>
      <c r="D201" s="5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</sheetData>
  <mergeCells count="5"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zoomScale="115" zoomScaleNormal="115" workbookViewId="0">
      <selection activeCell="E1" sqref="E1"/>
    </sheetView>
  </sheetViews>
  <sheetFormatPr defaultRowHeight="15"/>
  <cols>
    <col min="1" max="1" width="8.5703125" customWidth="1"/>
    <col min="2" max="2" width="16" customWidth="1"/>
  </cols>
  <sheetData>
    <row r="1" spans="1:15" ht="18">
      <c r="A1" s="83" t="s">
        <v>146</v>
      </c>
      <c r="B1" s="64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1:15" ht="18">
      <c r="A2" s="68" t="s">
        <v>147</v>
      </c>
      <c r="B2" s="67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6"/>
    </row>
    <row r="3" spans="1:15" ht="18">
      <c r="A3" s="69" t="s">
        <v>148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70"/>
      <c r="N3" s="70"/>
    </row>
    <row r="4" spans="1:15" ht="18">
      <c r="A4" s="69"/>
      <c r="B4" s="71" t="s">
        <v>141</v>
      </c>
      <c r="C4" s="69" t="s">
        <v>142</v>
      </c>
      <c r="D4" s="72"/>
      <c r="E4" s="73"/>
      <c r="F4" s="69"/>
      <c r="G4" s="69"/>
      <c r="H4" s="69"/>
      <c r="I4" s="69"/>
      <c r="J4" s="69"/>
      <c r="K4" s="69"/>
      <c r="L4" s="69"/>
      <c r="M4" s="70"/>
      <c r="N4" s="70"/>
    </row>
    <row r="5" spans="1:15" ht="20.25">
      <c r="A5" s="69" t="s">
        <v>149</v>
      </c>
      <c r="B5" s="85"/>
      <c r="C5" s="69"/>
      <c r="D5" s="69"/>
      <c r="E5" s="69"/>
      <c r="F5" s="69"/>
      <c r="G5" s="69"/>
      <c r="H5" s="69"/>
      <c r="I5" s="69"/>
      <c r="J5" s="69"/>
      <c r="K5" s="74"/>
      <c r="L5" s="74"/>
      <c r="M5" s="70"/>
      <c r="N5" s="70"/>
    </row>
    <row r="6" spans="1:15" ht="18">
      <c r="A6" s="75" t="s">
        <v>150</v>
      </c>
      <c r="B6" s="69"/>
      <c r="C6" s="69"/>
      <c r="D6" s="69"/>
      <c r="E6" s="69"/>
      <c r="F6" s="69"/>
      <c r="G6" s="69"/>
      <c r="H6" s="69"/>
      <c r="I6" s="69"/>
      <c r="J6" s="69"/>
      <c r="K6" s="74"/>
      <c r="L6" s="74"/>
      <c r="M6" s="70"/>
      <c r="N6" s="70"/>
    </row>
    <row r="7" spans="1:15" ht="18">
      <c r="A7" s="69"/>
      <c r="B7" s="69"/>
      <c r="C7" s="69"/>
      <c r="D7" s="69"/>
      <c r="E7" s="69"/>
      <c r="F7" s="69"/>
      <c r="G7" s="69"/>
      <c r="H7" s="69"/>
      <c r="I7" s="69"/>
      <c r="J7" s="69"/>
      <c r="K7" s="74"/>
      <c r="L7" s="74"/>
      <c r="M7" s="70"/>
      <c r="N7" s="70"/>
    </row>
    <row r="8" spans="1:15" ht="20.25">
      <c r="A8" s="37"/>
      <c r="B8" s="85" t="s">
        <v>151</v>
      </c>
      <c r="C8" s="84" t="s">
        <v>134</v>
      </c>
      <c r="D8" s="84" t="s">
        <v>143</v>
      </c>
      <c r="E8" s="84" t="s">
        <v>144</v>
      </c>
      <c r="F8" s="84" t="s">
        <v>145</v>
      </c>
      <c r="G8" s="84" t="s">
        <v>139</v>
      </c>
      <c r="H8" s="84" t="s">
        <v>138</v>
      </c>
      <c r="I8" s="84" t="s">
        <v>140</v>
      </c>
      <c r="J8" s="84"/>
      <c r="K8" s="84"/>
      <c r="L8" s="84"/>
      <c r="M8" s="69"/>
      <c r="N8" s="70"/>
      <c r="O8" s="70"/>
    </row>
    <row r="9" spans="1:15" ht="20.25">
      <c r="A9" s="85">
        <v>1</v>
      </c>
      <c r="B9" s="76">
        <v>225084736</v>
      </c>
      <c r="C9" s="81">
        <v>8</v>
      </c>
      <c r="D9" s="81">
        <v>10</v>
      </c>
      <c r="E9" s="80">
        <v>4.5</v>
      </c>
      <c r="F9" s="81">
        <v>11</v>
      </c>
      <c r="G9" s="82">
        <f>(F9+E9+D9+C9)*20/39</f>
        <v>17.179487179487179</v>
      </c>
      <c r="H9" s="80">
        <v>25</v>
      </c>
      <c r="I9" s="82">
        <f>G9+H9</f>
        <v>42.179487179487182</v>
      </c>
      <c r="J9" s="77"/>
      <c r="K9" s="79"/>
      <c r="L9" s="77"/>
    </row>
    <row r="10" spans="1:15" ht="20.25">
      <c r="A10" s="85">
        <f>A9+1</f>
        <v>2</v>
      </c>
      <c r="B10" s="76">
        <v>225092870</v>
      </c>
      <c r="C10" s="81"/>
      <c r="D10" s="81"/>
      <c r="E10" s="80"/>
      <c r="F10" s="81"/>
      <c r="G10" s="82"/>
      <c r="H10" s="81"/>
      <c r="I10" s="82"/>
      <c r="J10" s="77"/>
      <c r="K10" s="81"/>
      <c r="L10" s="77"/>
      <c r="M10" s="81"/>
    </row>
    <row r="11" spans="1:15" ht="20.25">
      <c r="A11" s="85">
        <f t="shared" ref="A11:A74" si="0">A10+1</f>
        <v>3</v>
      </c>
      <c r="B11" s="76">
        <v>225074534</v>
      </c>
      <c r="C11" s="81">
        <v>8</v>
      </c>
      <c r="D11" s="81">
        <v>10</v>
      </c>
      <c r="E11" s="80">
        <v>4.5</v>
      </c>
      <c r="F11" s="81">
        <v>12</v>
      </c>
      <c r="G11" s="82">
        <f t="shared" ref="G11:G73" si="1">(F11+E11+D11+C11)*20/39</f>
        <v>17.692307692307693</v>
      </c>
      <c r="H11" s="80">
        <v>24</v>
      </c>
      <c r="I11" s="82">
        <f t="shared" ref="I11:I73" si="2">G11+H11</f>
        <v>41.692307692307693</v>
      </c>
      <c r="J11" s="77"/>
      <c r="K11" s="79"/>
      <c r="L11" s="77"/>
    </row>
    <row r="12" spans="1:15" ht="20.25">
      <c r="A12" s="85">
        <f t="shared" si="0"/>
        <v>4</v>
      </c>
      <c r="B12" s="76">
        <v>225074650</v>
      </c>
      <c r="C12" s="81">
        <v>8</v>
      </c>
      <c r="D12" s="81">
        <v>11</v>
      </c>
      <c r="E12" s="80">
        <v>4</v>
      </c>
      <c r="F12" s="81">
        <v>12</v>
      </c>
      <c r="G12" s="82">
        <f t="shared" si="1"/>
        <v>17.948717948717949</v>
      </c>
      <c r="H12" s="80">
        <v>27</v>
      </c>
      <c r="I12" s="82">
        <f t="shared" si="2"/>
        <v>44.948717948717949</v>
      </c>
      <c r="J12" s="77"/>
      <c r="K12" s="79"/>
      <c r="L12" s="77"/>
    </row>
    <row r="13" spans="1:15" ht="20.25">
      <c r="A13" s="85">
        <f t="shared" si="0"/>
        <v>5</v>
      </c>
      <c r="B13" s="76">
        <v>225071910</v>
      </c>
      <c r="C13" s="81"/>
      <c r="D13" s="81"/>
      <c r="E13" s="80"/>
      <c r="F13" s="81"/>
      <c r="G13" s="82"/>
      <c r="H13" s="81"/>
      <c r="I13" s="82"/>
      <c r="J13" s="77"/>
      <c r="K13" s="79"/>
      <c r="L13" s="77"/>
    </row>
    <row r="14" spans="1:15" ht="20.25">
      <c r="A14" s="85">
        <f t="shared" si="0"/>
        <v>6</v>
      </c>
      <c r="B14" s="76">
        <v>225078324</v>
      </c>
      <c r="C14" s="81">
        <v>8.4</v>
      </c>
      <c r="D14" s="81">
        <v>10</v>
      </c>
      <c r="E14" s="80">
        <v>4.5</v>
      </c>
      <c r="F14" s="81">
        <v>9</v>
      </c>
      <c r="G14" s="82">
        <f t="shared" si="1"/>
        <v>16.358974358974358</v>
      </c>
      <c r="H14" s="80">
        <v>23</v>
      </c>
      <c r="I14" s="82">
        <f t="shared" si="2"/>
        <v>39.358974358974358</v>
      </c>
      <c r="J14" s="77"/>
      <c r="K14" s="79"/>
      <c r="L14" s="77"/>
    </row>
    <row r="15" spans="1:15" ht="20.25">
      <c r="A15" s="85">
        <f t="shared" si="0"/>
        <v>7</v>
      </c>
      <c r="B15" s="76">
        <v>225072339</v>
      </c>
      <c r="C15" s="81">
        <v>8</v>
      </c>
      <c r="D15" s="81">
        <v>10</v>
      </c>
      <c r="E15" s="81">
        <v>4</v>
      </c>
      <c r="F15" s="81">
        <v>12</v>
      </c>
      <c r="G15" s="82">
        <f t="shared" si="1"/>
        <v>17.435897435897434</v>
      </c>
      <c r="H15" s="80">
        <v>23.5</v>
      </c>
      <c r="I15" s="82">
        <f t="shared" si="2"/>
        <v>40.935897435897431</v>
      </c>
      <c r="J15" s="77"/>
      <c r="K15" s="79"/>
      <c r="L15" s="77"/>
    </row>
    <row r="16" spans="1:15" ht="20.25">
      <c r="A16" s="85">
        <f t="shared" si="0"/>
        <v>8</v>
      </c>
      <c r="B16" s="76">
        <v>225061423</v>
      </c>
      <c r="C16" s="81">
        <v>8</v>
      </c>
      <c r="D16" s="81">
        <v>11</v>
      </c>
      <c r="E16" s="80">
        <v>4.5</v>
      </c>
      <c r="F16" s="81">
        <v>10</v>
      </c>
      <c r="G16" s="82">
        <f t="shared" si="1"/>
        <v>17.179487179487179</v>
      </c>
      <c r="H16" s="80">
        <v>23</v>
      </c>
      <c r="I16" s="82">
        <f t="shared" si="2"/>
        <v>40.179487179487182</v>
      </c>
      <c r="J16" s="77"/>
      <c r="K16" s="79"/>
      <c r="L16" s="77"/>
    </row>
    <row r="17" spans="1:12" ht="20.25">
      <c r="A17" s="85">
        <f t="shared" si="0"/>
        <v>9</v>
      </c>
      <c r="B17" s="76">
        <v>225059281</v>
      </c>
      <c r="C17" s="81">
        <v>8.6999999999999993</v>
      </c>
      <c r="D17" s="81">
        <v>11</v>
      </c>
      <c r="E17" s="80">
        <v>4.5</v>
      </c>
      <c r="F17" s="81">
        <v>10</v>
      </c>
      <c r="G17" s="82">
        <f t="shared" si="1"/>
        <v>17.53846153846154</v>
      </c>
      <c r="H17" s="80">
        <v>26.3</v>
      </c>
      <c r="I17" s="82">
        <f t="shared" si="2"/>
        <v>43.838461538461544</v>
      </c>
      <c r="J17" s="77"/>
      <c r="K17" s="79"/>
      <c r="L17" s="77"/>
    </row>
    <row r="18" spans="1:12" ht="20.25">
      <c r="A18" s="85">
        <f t="shared" si="0"/>
        <v>10</v>
      </c>
      <c r="B18" s="76">
        <v>225063489</v>
      </c>
      <c r="C18" s="81">
        <v>8.1999999999999993</v>
      </c>
      <c r="D18" s="81">
        <v>11</v>
      </c>
      <c r="E18" s="80">
        <v>5</v>
      </c>
      <c r="F18" s="81">
        <v>10</v>
      </c>
      <c r="G18" s="82">
        <f t="shared" si="1"/>
        <v>17.53846153846154</v>
      </c>
      <c r="H18" s="80">
        <v>22</v>
      </c>
      <c r="I18" s="82">
        <f t="shared" si="2"/>
        <v>39.53846153846154</v>
      </c>
      <c r="J18" s="77"/>
      <c r="K18" s="79"/>
      <c r="L18" s="77"/>
    </row>
    <row r="19" spans="1:12" ht="20.25">
      <c r="A19" s="85">
        <f t="shared" si="0"/>
        <v>11</v>
      </c>
      <c r="B19" s="76">
        <v>225071210</v>
      </c>
      <c r="C19" s="81">
        <v>8.4</v>
      </c>
      <c r="D19" s="81">
        <v>11</v>
      </c>
      <c r="E19" s="80">
        <v>4</v>
      </c>
      <c r="F19" s="81">
        <v>12</v>
      </c>
      <c r="G19" s="82">
        <f t="shared" si="1"/>
        <v>18.153846153846153</v>
      </c>
      <c r="H19" s="80">
        <v>24</v>
      </c>
      <c r="I19" s="82">
        <f t="shared" si="2"/>
        <v>42.153846153846153</v>
      </c>
      <c r="J19" s="77"/>
      <c r="K19" s="79"/>
      <c r="L19" s="77"/>
    </row>
    <row r="20" spans="1:12" ht="20.25">
      <c r="A20" s="85">
        <f t="shared" si="0"/>
        <v>12</v>
      </c>
      <c r="B20" s="76">
        <v>225070444</v>
      </c>
      <c r="C20" s="81">
        <v>8.1999999999999993</v>
      </c>
      <c r="D20" s="81"/>
      <c r="E20" s="80"/>
      <c r="F20" s="81">
        <v>11</v>
      </c>
      <c r="G20" s="82">
        <f t="shared" si="1"/>
        <v>9.8461538461538467</v>
      </c>
      <c r="H20" s="80">
        <v>24</v>
      </c>
      <c r="I20" s="82">
        <f t="shared" si="2"/>
        <v>33.846153846153847</v>
      </c>
      <c r="J20" s="77"/>
      <c r="K20" s="79"/>
      <c r="L20" s="77"/>
    </row>
    <row r="21" spans="1:12" ht="20.25">
      <c r="A21" s="85">
        <f t="shared" si="0"/>
        <v>13</v>
      </c>
      <c r="B21" s="76">
        <v>225067539</v>
      </c>
      <c r="C21" s="81">
        <v>8.4</v>
      </c>
      <c r="D21" s="81">
        <v>11</v>
      </c>
      <c r="E21" s="80">
        <v>4.5</v>
      </c>
      <c r="F21" s="81">
        <v>11</v>
      </c>
      <c r="G21" s="82">
        <f t="shared" si="1"/>
        <v>17.897435897435898</v>
      </c>
      <c r="H21" s="80">
        <v>24</v>
      </c>
      <c r="I21" s="82">
        <f t="shared" si="2"/>
        <v>41.897435897435898</v>
      </c>
      <c r="J21" s="77"/>
      <c r="K21" s="79"/>
      <c r="L21" s="77"/>
    </row>
    <row r="22" spans="1:12" ht="20.25">
      <c r="A22" s="85">
        <f t="shared" si="0"/>
        <v>14</v>
      </c>
      <c r="B22" s="76">
        <v>225062496</v>
      </c>
      <c r="C22" s="81">
        <v>8.1</v>
      </c>
      <c r="D22" s="81"/>
      <c r="E22" s="80"/>
      <c r="F22" s="81"/>
      <c r="G22" s="82">
        <f t="shared" si="1"/>
        <v>4.1538461538461542</v>
      </c>
      <c r="H22" s="80">
        <v>24</v>
      </c>
      <c r="I22" s="82">
        <f t="shared" si="2"/>
        <v>28.153846153846153</v>
      </c>
      <c r="J22" s="77"/>
      <c r="K22" s="79"/>
      <c r="L22" s="77"/>
    </row>
    <row r="23" spans="1:12" ht="20.25">
      <c r="A23" s="85">
        <f t="shared" si="0"/>
        <v>15</v>
      </c>
      <c r="B23" s="76">
        <v>225060001</v>
      </c>
      <c r="C23" s="81">
        <v>8.1999999999999993</v>
      </c>
      <c r="D23" s="81">
        <v>11</v>
      </c>
      <c r="E23" s="80">
        <v>5</v>
      </c>
      <c r="F23" s="81">
        <v>11</v>
      </c>
      <c r="G23" s="82">
        <f t="shared" si="1"/>
        <v>18.051282051282051</v>
      </c>
      <c r="H23" s="80">
        <v>23.7</v>
      </c>
      <c r="I23" s="82">
        <f t="shared" si="2"/>
        <v>41.751282051282047</v>
      </c>
      <c r="J23" s="77"/>
      <c r="K23" s="79"/>
      <c r="L23" s="77"/>
    </row>
    <row r="24" spans="1:12" ht="20.25">
      <c r="A24" s="85">
        <f t="shared" si="0"/>
        <v>16</v>
      </c>
      <c r="B24" s="76">
        <v>225067392</v>
      </c>
      <c r="C24" s="81">
        <v>8</v>
      </c>
      <c r="D24" s="81">
        <v>11</v>
      </c>
      <c r="E24" s="80">
        <v>4.5</v>
      </c>
      <c r="F24" s="81">
        <v>11</v>
      </c>
      <c r="G24" s="82">
        <f t="shared" si="1"/>
        <v>17.692307692307693</v>
      </c>
      <c r="H24" s="80">
        <v>24</v>
      </c>
      <c r="I24" s="82">
        <f t="shared" si="2"/>
        <v>41.692307692307693</v>
      </c>
      <c r="J24" s="77"/>
      <c r="K24" s="79"/>
      <c r="L24" s="77"/>
    </row>
    <row r="25" spans="1:12" ht="20.25">
      <c r="A25" s="85">
        <f t="shared" si="0"/>
        <v>17</v>
      </c>
      <c r="B25" s="76">
        <v>225061404</v>
      </c>
      <c r="C25" s="81">
        <v>8.1</v>
      </c>
      <c r="D25" s="81"/>
      <c r="E25" s="80"/>
      <c r="F25" s="81">
        <v>10</v>
      </c>
      <c r="G25" s="82">
        <f t="shared" si="1"/>
        <v>9.2820512820512828</v>
      </c>
      <c r="H25" s="80">
        <v>24.2</v>
      </c>
      <c r="I25" s="82">
        <f t="shared" si="2"/>
        <v>33.48205128205128</v>
      </c>
      <c r="J25" s="77"/>
      <c r="K25" s="79"/>
      <c r="L25" s="77"/>
    </row>
    <row r="26" spans="1:12" ht="20.25">
      <c r="A26" s="85">
        <f t="shared" si="0"/>
        <v>18</v>
      </c>
      <c r="B26" s="76">
        <v>225061402</v>
      </c>
      <c r="C26" s="81">
        <v>8.4</v>
      </c>
      <c r="D26" s="81">
        <v>11</v>
      </c>
      <c r="E26" s="80">
        <v>4.5</v>
      </c>
      <c r="F26" s="81">
        <v>11</v>
      </c>
      <c r="G26" s="82">
        <f t="shared" si="1"/>
        <v>17.897435897435898</v>
      </c>
      <c r="H26" s="80">
        <v>25</v>
      </c>
      <c r="I26" s="82">
        <f t="shared" si="2"/>
        <v>42.897435897435898</v>
      </c>
      <c r="J26" s="77"/>
      <c r="K26" s="79"/>
      <c r="L26" s="77"/>
    </row>
    <row r="27" spans="1:12" ht="20.25">
      <c r="A27" s="85">
        <f t="shared" si="0"/>
        <v>19</v>
      </c>
      <c r="B27" s="76">
        <v>225064165</v>
      </c>
      <c r="C27" s="81">
        <v>8.1999999999999993</v>
      </c>
      <c r="D27" s="81">
        <v>11</v>
      </c>
      <c r="E27" s="80">
        <v>5</v>
      </c>
      <c r="F27" s="81">
        <v>11</v>
      </c>
      <c r="G27" s="82">
        <f t="shared" si="1"/>
        <v>18.051282051282051</v>
      </c>
      <c r="H27" s="80">
        <v>21</v>
      </c>
      <c r="I27" s="82">
        <f t="shared" si="2"/>
        <v>39.051282051282051</v>
      </c>
      <c r="J27" s="77"/>
      <c r="K27" s="79"/>
      <c r="L27" s="77"/>
    </row>
    <row r="28" spans="1:12" ht="20.25">
      <c r="A28" s="85">
        <f t="shared" si="0"/>
        <v>20</v>
      </c>
      <c r="B28" s="76">
        <v>225061020</v>
      </c>
      <c r="C28" s="81">
        <v>8</v>
      </c>
      <c r="D28" s="81">
        <v>11</v>
      </c>
      <c r="E28" s="80">
        <v>4.5</v>
      </c>
      <c r="F28" s="81">
        <v>11</v>
      </c>
      <c r="G28" s="82">
        <f t="shared" si="1"/>
        <v>17.692307692307693</v>
      </c>
      <c r="H28" s="80">
        <v>21.5</v>
      </c>
      <c r="I28" s="82">
        <f t="shared" si="2"/>
        <v>39.192307692307693</v>
      </c>
      <c r="J28" s="77"/>
      <c r="K28" s="79"/>
      <c r="L28" s="77"/>
    </row>
    <row r="29" spans="1:12" ht="20.25">
      <c r="A29" s="85">
        <f t="shared" si="0"/>
        <v>21</v>
      </c>
      <c r="B29" s="76">
        <v>225059498</v>
      </c>
      <c r="C29" s="81">
        <v>8.1</v>
      </c>
      <c r="D29" s="81">
        <v>11</v>
      </c>
      <c r="E29" s="80">
        <v>4</v>
      </c>
      <c r="F29" s="81"/>
      <c r="G29" s="82">
        <f t="shared" si="1"/>
        <v>11.846153846153847</v>
      </c>
      <c r="H29" s="80">
        <v>24</v>
      </c>
      <c r="I29" s="82">
        <f t="shared" si="2"/>
        <v>35.846153846153847</v>
      </c>
      <c r="J29" s="77"/>
      <c r="K29" s="79"/>
      <c r="L29" s="77"/>
    </row>
    <row r="30" spans="1:12" ht="20.25">
      <c r="A30" s="85">
        <f t="shared" si="0"/>
        <v>22</v>
      </c>
      <c r="B30" s="76">
        <v>225059939</v>
      </c>
      <c r="C30" s="81">
        <v>8.5</v>
      </c>
      <c r="D30" s="81">
        <v>11</v>
      </c>
      <c r="E30" s="80">
        <v>4.5</v>
      </c>
      <c r="F30" s="81">
        <v>11</v>
      </c>
      <c r="G30" s="82">
        <f t="shared" si="1"/>
        <v>17.948717948717949</v>
      </c>
      <c r="H30" s="80">
        <v>23</v>
      </c>
      <c r="I30" s="82">
        <f t="shared" si="2"/>
        <v>40.948717948717949</v>
      </c>
      <c r="J30" s="77"/>
      <c r="K30" s="79"/>
      <c r="L30" s="77"/>
    </row>
    <row r="31" spans="1:12" ht="20.25">
      <c r="A31" s="85">
        <f t="shared" si="0"/>
        <v>23</v>
      </c>
      <c r="B31" s="76">
        <v>225060097</v>
      </c>
      <c r="C31" s="81">
        <v>8.4</v>
      </c>
      <c r="D31" s="81">
        <v>11</v>
      </c>
      <c r="E31" s="80">
        <v>4.5</v>
      </c>
      <c r="F31" s="81">
        <v>11</v>
      </c>
      <c r="G31" s="82">
        <f t="shared" si="1"/>
        <v>17.897435897435898</v>
      </c>
      <c r="H31" s="80">
        <v>20.2</v>
      </c>
      <c r="I31" s="82">
        <f t="shared" si="2"/>
        <v>38.097435897435901</v>
      </c>
      <c r="J31" s="77"/>
      <c r="K31" s="79"/>
      <c r="L31" s="77"/>
    </row>
    <row r="32" spans="1:12" ht="20.25">
      <c r="A32" s="85">
        <f t="shared" si="0"/>
        <v>24</v>
      </c>
      <c r="B32" s="76">
        <v>225059015</v>
      </c>
      <c r="C32" s="81">
        <v>8.4</v>
      </c>
      <c r="D32" s="81"/>
      <c r="E32" s="80"/>
      <c r="F32" s="81">
        <v>11</v>
      </c>
      <c r="G32" s="82">
        <f t="shared" si="1"/>
        <v>9.9487179487179489</v>
      </c>
      <c r="H32" s="80">
        <v>26</v>
      </c>
      <c r="I32" s="82">
        <f t="shared" si="2"/>
        <v>35.948717948717949</v>
      </c>
      <c r="J32" s="77"/>
      <c r="K32" s="79"/>
      <c r="L32" s="77"/>
    </row>
    <row r="33" spans="1:12" ht="20.25">
      <c r="A33" s="85">
        <f t="shared" si="0"/>
        <v>25</v>
      </c>
      <c r="B33" s="76">
        <v>225067917</v>
      </c>
      <c r="C33" s="81">
        <v>8</v>
      </c>
      <c r="D33" s="81"/>
      <c r="E33" s="80"/>
      <c r="F33" s="81">
        <v>10</v>
      </c>
      <c r="G33" s="82">
        <f t="shared" si="1"/>
        <v>9.2307692307692299</v>
      </c>
      <c r="H33" s="80">
        <v>27</v>
      </c>
      <c r="I33" s="82">
        <f t="shared" si="2"/>
        <v>36.230769230769226</v>
      </c>
      <c r="J33" s="77"/>
      <c r="K33" s="79"/>
      <c r="L33" s="77"/>
    </row>
    <row r="34" spans="1:12" ht="20.25">
      <c r="A34" s="85">
        <f t="shared" si="0"/>
        <v>26</v>
      </c>
      <c r="B34" s="76">
        <v>225062054</v>
      </c>
      <c r="C34" s="81"/>
      <c r="D34" s="81"/>
      <c r="E34" s="80"/>
      <c r="F34" s="81">
        <v>11</v>
      </c>
      <c r="G34" s="82">
        <f t="shared" si="1"/>
        <v>5.6410256410256414</v>
      </c>
      <c r="H34" s="80">
        <v>25</v>
      </c>
      <c r="I34" s="82">
        <f t="shared" si="2"/>
        <v>30.641025641025642</v>
      </c>
      <c r="J34" s="77"/>
      <c r="K34" s="79"/>
      <c r="L34" s="77"/>
    </row>
    <row r="35" spans="1:12" ht="20.25">
      <c r="A35" s="85">
        <f t="shared" si="0"/>
        <v>27</v>
      </c>
      <c r="B35" s="76">
        <v>225064517</v>
      </c>
      <c r="C35" s="81">
        <v>8.1</v>
      </c>
      <c r="D35" s="81">
        <v>11</v>
      </c>
      <c r="E35" s="80">
        <v>5</v>
      </c>
      <c r="F35" s="81">
        <v>11</v>
      </c>
      <c r="G35" s="82">
        <f t="shared" si="1"/>
        <v>18</v>
      </c>
      <c r="H35" s="80">
        <v>24</v>
      </c>
      <c r="I35" s="82">
        <f t="shared" si="2"/>
        <v>42</v>
      </c>
      <c r="J35" s="77"/>
      <c r="K35" s="79"/>
      <c r="L35" s="77"/>
    </row>
    <row r="36" spans="1:12" ht="20.25">
      <c r="A36" s="85">
        <f t="shared" si="0"/>
        <v>28</v>
      </c>
      <c r="B36" s="76">
        <v>225052665</v>
      </c>
      <c r="C36" s="81">
        <v>8.1999999999999993</v>
      </c>
      <c r="D36" s="81"/>
      <c r="E36" s="80"/>
      <c r="F36" s="81">
        <v>11</v>
      </c>
      <c r="G36" s="82">
        <f t="shared" si="1"/>
        <v>9.8461538461538467</v>
      </c>
      <c r="H36" s="80">
        <v>20</v>
      </c>
      <c r="I36" s="82">
        <f t="shared" si="2"/>
        <v>29.846153846153847</v>
      </c>
      <c r="J36" s="77"/>
      <c r="K36" s="79"/>
      <c r="L36" s="77"/>
    </row>
    <row r="37" spans="1:12" ht="20.25">
      <c r="A37" s="85">
        <f t="shared" si="0"/>
        <v>29</v>
      </c>
      <c r="B37" s="76">
        <v>225058527</v>
      </c>
      <c r="C37" s="81">
        <v>7.8</v>
      </c>
      <c r="D37" s="81">
        <v>9</v>
      </c>
      <c r="E37" s="80">
        <v>4</v>
      </c>
      <c r="F37" s="81">
        <v>12</v>
      </c>
      <c r="G37" s="82">
        <f t="shared" si="1"/>
        <v>16.820512820512821</v>
      </c>
      <c r="H37" s="80">
        <v>25</v>
      </c>
      <c r="I37" s="82">
        <f t="shared" si="2"/>
        <v>41.820512820512818</v>
      </c>
      <c r="J37" s="77"/>
      <c r="K37" s="79"/>
      <c r="L37" s="77"/>
    </row>
    <row r="38" spans="1:12" ht="20.25">
      <c r="A38" s="85">
        <f t="shared" si="0"/>
        <v>30</v>
      </c>
      <c r="B38" s="76">
        <v>225055530</v>
      </c>
      <c r="C38" s="81">
        <v>8.3000000000000007</v>
      </c>
      <c r="D38" s="81">
        <v>11</v>
      </c>
      <c r="E38" s="80">
        <v>5</v>
      </c>
      <c r="F38" s="81">
        <v>11</v>
      </c>
      <c r="G38" s="82">
        <f t="shared" si="1"/>
        <v>18.102564102564102</v>
      </c>
      <c r="H38" s="80">
        <v>24</v>
      </c>
      <c r="I38" s="82">
        <f t="shared" si="2"/>
        <v>42.102564102564102</v>
      </c>
      <c r="J38" s="77"/>
      <c r="K38" s="79"/>
      <c r="L38" s="77"/>
    </row>
    <row r="39" spans="1:12" ht="20.25">
      <c r="A39" s="85">
        <f t="shared" si="0"/>
        <v>31</v>
      </c>
      <c r="B39" s="76">
        <v>225051948</v>
      </c>
      <c r="C39" s="81">
        <v>7.8</v>
      </c>
      <c r="D39" s="81">
        <v>11</v>
      </c>
      <c r="E39" s="80">
        <v>4.5</v>
      </c>
      <c r="F39" s="81">
        <v>10</v>
      </c>
      <c r="G39" s="82">
        <f t="shared" si="1"/>
        <v>17.076923076923077</v>
      </c>
      <c r="H39" s="80">
        <v>22.3</v>
      </c>
      <c r="I39" s="82">
        <f t="shared" si="2"/>
        <v>39.376923076923077</v>
      </c>
      <c r="J39" s="77"/>
      <c r="K39" s="79"/>
      <c r="L39" s="77"/>
    </row>
    <row r="40" spans="1:12" ht="20.25">
      <c r="A40" s="85">
        <f t="shared" si="0"/>
        <v>32</v>
      </c>
      <c r="B40" s="76">
        <v>225058590</v>
      </c>
      <c r="C40" s="81">
        <v>8.6</v>
      </c>
      <c r="D40" s="81">
        <v>11</v>
      </c>
      <c r="E40" s="80">
        <v>3</v>
      </c>
      <c r="F40" s="81">
        <v>12</v>
      </c>
      <c r="G40" s="82">
        <f t="shared" si="1"/>
        <v>17.743589743589745</v>
      </c>
      <c r="H40" s="80">
        <v>22</v>
      </c>
      <c r="I40" s="82">
        <f t="shared" si="2"/>
        <v>39.743589743589745</v>
      </c>
      <c r="J40" s="77"/>
      <c r="K40" s="79"/>
      <c r="L40" s="77"/>
    </row>
    <row r="41" spans="1:12" ht="20.25">
      <c r="A41" s="85">
        <f t="shared" si="0"/>
        <v>33</v>
      </c>
      <c r="B41" s="76">
        <v>225058843</v>
      </c>
      <c r="C41" s="81">
        <v>7.8</v>
      </c>
      <c r="D41" s="81"/>
      <c r="E41" s="80"/>
      <c r="F41" s="81">
        <v>10</v>
      </c>
      <c r="G41" s="82">
        <f t="shared" si="1"/>
        <v>9.1282051282051277</v>
      </c>
      <c r="H41" s="80">
        <v>25.8</v>
      </c>
      <c r="I41" s="82">
        <f t="shared" si="2"/>
        <v>34.928205128205128</v>
      </c>
      <c r="J41" s="77"/>
      <c r="K41" s="79"/>
      <c r="L41" s="77"/>
    </row>
    <row r="42" spans="1:12" ht="20.25">
      <c r="A42" s="85">
        <f t="shared" si="0"/>
        <v>34</v>
      </c>
      <c r="B42" s="76">
        <v>225056357</v>
      </c>
      <c r="C42" s="81">
        <v>7.6</v>
      </c>
      <c r="D42" s="81">
        <v>11</v>
      </c>
      <c r="E42" s="80">
        <v>5</v>
      </c>
      <c r="F42" s="81">
        <v>8</v>
      </c>
      <c r="G42" s="82">
        <f t="shared" si="1"/>
        <v>16.205128205128204</v>
      </c>
      <c r="H42" s="80">
        <v>25</v>
      </c>
      <c r="I42" s="82">
        <f t="shared" si="2"/>
        <v>41.205128205128204</v>
      </c>
      <c r="J42" s="77"/>
      <c r="K42" s="79"/>
      <c r="L42" s="77"/>
    </row>
    <row r="43" spans="1:12" ht="20.25">
      <c r="A43" s="85">
        <f t="shared" si="0"/>
        <v>35</v>
      </c>
      <c r="B43" s="76">
        <v>225058410</v>
      </c>
      <c r="C43" s="81">
        <v>7.8</v>
      </c>
      <c r="D43" s="81">
        <v>11</v>
      </c>
      <c r="E43" s="80">
        <v>4.5</v>
      </c>
      <c r="F43" s="81">
        <v>11</v>
      </c>
      <c r="G43" s="82">
        <f t="shared" si="1"/>
        <v>17.589743589743591</v>
      </c>
      <c r="H43" s="80">
        <v>25</v>
      </c>
      <c r="I43" s="82">
        <f t="shared" si="2"/>
        <v>42.589743589743591</v>
      </c>
      <c r="J43" s="77"/>
      <c r="K43" s="78"/>
      <c r="L43" s="77"/>
    </row>
    <row r="44" spans="1:12" ht="20.25">
      <c r="A44" s="85">
        <f t="shared" si="0"/>
        <v>36</v>
      </c>
      <c r="B44" s="76">
        <v>225050216</v>
      </c>
      <c r="C44" s="81">
        <v>8.4</v>
      </c>
      <c r="D44" s="81">
        <v>11</v>
      </c>
      <c r="E44" s="80">
        <v>4.5</v>
      </c>
      <c r="F44" s="81">
        <v>10</v>
      </c>
      <c r="G44" s="82">
        <f t="shared" si="1"/>
        <v>17.384615384615383</v>
      </c>
      <c r="H44" s="80">
        <v>26</v>
      </c>
      <c r="I44" s="82">
        <f t="shared" si="2"/>
        <v>43.384615384615387</v>
      </c>
      <c r="J44" s="77"/>
      <c r="K44" s="79"/>
      <c r="L44" s="77"/>
    </row>
    <row r="45" spans="1:12" ht="20.25">
      <c r="A45" s="85">
        <f t="shared" si="0"/>
        <v>37</v>
      </c>
      <c r="B45" s="76">
        <v>225056635</v>
      </c>
      <c r="C45" s="81">
        <v>8.1999999999999993</v>
      </c>
      <c r="D45" s="81">
        <v>11</v>
      </c>
      <c r="E45" s="80">
        <v>4</v>
      </c>
      <c r="F45" s="81"/>
      <c r="G45" s="82">
        <f t="shared" si="1"/>
        <v>11.897435897435898</v>
      </c>
      <c r="H45" s="80">
        <v>23</v>
      </c>
      <c r="I45" s="82">
        <f t="shared" si="2"/>
        <v>34.897435897435898</v>
      </c>
      <c r="J45" s="77"/>
      <c r="K45" s="79"/>
      <c r="L45" s="77"/>
    </row>
    <row r="46" spans="1:12" ht="20.25">
      <c r="A46" s="85">
        <f t="shared" si="0"/>
        <v>38</v>
      </c>
      <c r="B46" s="76">
        <v>225057478</v>
      </c>
      <c r="C46" s="81">
        <v>8</v>
      </c>
      <c r="D46" s="81">
        <v>11</v>
      </c>
      <c r="E46" s="80">
        <v>3</v>
      </c>
      <c r="F46" s="81">
        <v>11</v>
      </c>
      <c r="G46" s="82">
        <f t="shared" si="1"/>
        <v>16.923076923076923</v>
      </c>
      <c r="H46" s="80">
        <v>17</v>
      </c>
      <c r="I46" s="82">
        <f t="shared" si="2"/>
        <v>33.92307692307692</v>
      </c>
      <c r="J46" s="77"/>
      <c r="K46" s="79"/>
      <c r="L46" s="77"/>
    </row>
    <row r="47" spans="1:12" ht="20.25">
      <c r="A47" s="85">
        <f t="shared" si="0"/>
        <v>39</v>
      </c>
      <c r="B47" s="76">
        <v>225056492</v>
      </c>
      <c r="C47" s="81">
        <v>8.3000000000000007</v>
      </c>
      <c r="D47" s="81">
        <v>11</v>
      </c>
      <c r="E47" s="80">
        <v>4</v>
      </c>
      <c r="F47" s="81"/>
      <c r="G47" s="82">
        <f t="shared" si="1"/>
        <v>11.948717948717949</v>
      </c>
      <c r="H47" s="80">
        <v>21</v>
      </c>
      <c r="I47" s="82">
        <f t="shared" si="2"/>
        <v>32.948717948717949</v>
      </c>
      <c r="J47" s="77"/>
      <c r="K47" s="79"/>
      <c r="L47" s="77"/>
    </row>
    <row r="48" spans="1:12" ht="20.25">
      <c r="A48" s="85">
        <f t="shared" si="0"/>
        <v>40</v>
      </c>
      <c r="B48" s="76">
        <v>225047513</v>
      </c>
      <c r="C48" s="81">
        <v>7.8</v>
      </c>
      <c r="D48" s="81">
        <v>11</v>
      </c>
      <c r="E48" s="80">
        <v>4.5</v>
      </c>
      <c r="F48" s="81">
        <v>11</v>
      </c>
      <c r="G48" s="82">
        <f t="shared" si="1"/>
        <v>17.589743589743591</v>
      </c>
      <c r="H48" s="80">
        <v>22.8</v>
      </c>
      <c r="I48" s="82">
        <f t="shared" si="2"/>
        <v>40.389743589743588</v>
      </c>
      <c r="J48" s="77"/>
      <c r="K48" s="79"/>
      <c r="L48" s="77"/>
    </row>
    <row r="49" spans="1:12" ht="20.25">
      <c r="A49" s="85">
        <f t="shared" si="0"/>
        <v>41</v>
      </c>
      <c r="B49" s="76">
        <v>225033533</v>
      </c>
      <c r="C49" s="81">
        <v>7.5</v>
      </c>
      <c r="D49" s="81">
        <v>11</v>
      </c>
      <c r="E49" s="80">
        <v>4.5</v>
      </c>
      <c r="F49" s="81">
        <v>11</v>
      </c>
      <c r="G49" s="82">
        <f t="shared" si="1"/>
        <v>17.435897435897434</v>
      </c>
      <c r="H49" s="80">
        <v>21</v>
      </c>
      <c r="I49" s="82">
        <f t="shared" si="2"/>
        <v>38.435897435897431</v>
      </c>
      <c r="J49" s="77"/>
      <c r="K49" s="79"/>
      <c r="L49" s="77"/>
    </row>
    <row r="50" spans="1:12" ht="20.25">
      <c r="A50" s="85">
        <f t="shared" si="0"/>
        <v>42</v>
      </c>
      <c r="B50" s="76">
        <v>225040993</v>
      </c>
      <c r="C50" s="81">
        <v>8.4</v>
      </c>
      <c r="D50" s="81">
        <v>11</v>
      </c>
      <c r="E50" s="80">
        <v>4.5</v>
      </c>
      <c r="F50" s="81">
        <v>11</v>
      </c>
      <c r="G50" s="82">
        <f t="shared" si="1"/>
        <v>17.897435897435898</v>
      </c>
      <c r="H50" s="80">
        <v>26</v>
      </c>
      <c r="I50" s="82">
        <f t="shared" si="2"/>
        <v>43.897435897435898</v>
      </c>
      <c r="J50" s="77"/>
      <c r="K50" s="79"/>
      <c r="L50" s="77"/>
    </row>
    <row r="51" spans="1:12" ht="20.25">
      <c r="A51" s="85">
        <f t="shared" si="0"/>
        <v>43</v>
      </c>
      <c r="B51" s="76">
        <v>225032363</v>
      </c>
      <c r="C51" s="81">
        <v>7.8</v>
      </c>
      <c r="D51" s="81">
        <v>11</v>
      </c>
      <c r="E51" s="80">
        <v>4.5</v>
      </c>
      <c r="F51" s="81">
        <v>11</v>
      </c>
      <c r="G51" s="82">
        <f t="shared" si="1"/>
        <v>17.589743589743591</v>
      </c>
      <c r="H51" s="80">
        <v>26</v>
      </c>
      <c r="I51" s="82">
        <f t="shared" si="2"/>
        <v>43.589743589743591</v>
      </c>
      <c r="J51" s="77"/>
      <c r="K51" s="79"/>
      <c r="L51" s="77"/>
    </row>
    <row r="52" spans="1:12" ht="20.25">
      <c r="A52" s="85">
        <f t="shared" si="0"/>
        <v>44</v>
      </c>
      <c r="B52" s="76">
        <v>225038140</v>
      </c>
      <c r="C52" s="81">
        <v>7.7</v>
      </c>
      <c r="D52" s="81">
        <v>11</v>
      </c>
      <c r="E52" s="80">
        <v>4.5</v>
      </c>
      <c r="F52" s="81">
        <v>12</v>
      </c>
      <c r="G52" s="82">
        <f t="shared" si="1"/>
        <v>18.051282051282051</v>
      </c>
      <c r="H52" s="80">
        <v>22.8</v>
      </c>
      <c r="I52" s="82">
        <f t="shared" si="2"/>
        <v>40.851282051282055</v>
      </c>
      <c r="J52" s="77"/>
      <c r="K52" s="79"/>
      <c r="L52" s="77"/>
    </row>
    <row r="53" spans="1:12" ht="20.25">
      <c r="A53" s="85">
        <f t="shared" si="0"/>
        <v>45</v>
      </c>
      <c r="B53" s="76">
        <v>225043521</v>
      </c>
      <c r="C53" s="81">
        <v>7.5</v>
      </c>
      <c r="D53" s="81">
        <v>10</v>
      </c>
      <c r="E53" s="80">
        <v>4.5</v>
      </c>
      <c r="F53" s="81">
        <v>9</v>
      </c>
      <c r="G53" s="82">
        <f t="shared" si="1"/>
        <v>15.897435897435898</v>
      </c>
      <c r="H53" s="80">
        <v>24</v>
      </c>
      <c r="I53" s="82">
        <f t="shared" si="2"/>
        <v>39.897435897435898</v>
      </c>
      <c r="J53" s="77"/>
      <c r="K53" s="79"/>
      <c r="L53" s="77"/>
    </row>
    <row r="54" spans="1:12" ht="20.25">
      <c r="A54" s="85">
        <f t="shared" si="0"/>
        <v>46</v>
      </c>
      <c r="B54" s="76">
        <v>225036732</v>
      </c>
      <c r="C54" s="81"/>
      <c r="D54" s="81">
        <v>11</v>
      </c>
      <c r="E54" s="80">
        <v>5</v>
      </c>
      <c r="F54" s="81">
        <v>11</v>
      </c>
      <c r="G54" s="82">
        <f t="shared" si="1"/>
        <v>13.846153846153847</v>
      </c>
      <c r="H54" s="80">
        <v>21.4</v>
      </c>
      <c r="I54" s="82">
        <f t="shared" si="2"/>
        <v>35.246153846153845</v>
      </c>
      <c r="J54" s="77"/>
      <c r="K54" s="79"/>
      <c r="L54" s="77"/>
    </row>
    <row r="55" spans="1:12" ht="20.25">
      <c r="A55" s="85">
        <f t="shared" si="0"/>
        <v>47</v>
      </c>
      <c r="B55" s="76">
        <v>225033151</v>
      </c>
      <c r="C55" s="81">
        <v>8.5</v>
      </c>
      <c r="D55" s="81">
        <v>10</v>
      </c>
      <c r="E55" s="80">
        <v>4</v>
      </c>
      <c r="F55" s="81">
        <v>11</v>
      </c>
      <c r="G55" s="82">
        <f t="shared" si="1"/>
        <v>17.179487179487179</v>
      </c>
      <c r="H55" s="80">
        <v>25</v>
      </c>
      <c r="I55" s="82">
        <f t="shared" si="2"/>
        <v>42.179487179487182</v>
      </c>
      <c r="J55" s="77"/>
      <c r="K55" s="79"/>
      <c r="L55" s="77"/>
    </row>
    <row r="56" spans="1:12" ht="20.25">
      <c r="A56" s="85">
        <f t="shared" si="0"/>
        <v>48</v>
      </c>
      <c r="B56" s="76">
        <v>225037467</v>
      </c>
      <c r="C56" s="81">
        <v>8.5</v>
      </c>
      <c r="D56" s="81"/>
      <c r="E56" s="80"/>
      <c r="F56" s="81">
        <v>10</v>
      </c>
      <c r="G56" s="82">
        <f t="shared" si="1"/>
        <v>9.4871794871794872</v>
      </c>
      <c r="H56" s="80">
        <v>21</v>
      </c>
      <c r="I56" s="82">
        <f t="shared" si="2"/>
        <v>30.487179487179489</v>
      </c>
      <c r="J56" s="77"/>
      <c r="K56" s="79"/>
      <c r="L56" s="77"/>
    </row>
    <row r="57" spans="1:12" ht="20.25">
      <c r="A57" s="85">
        <f t="shared" si="0"/>
        <v>49</v>
      </c>
      <c r="B57" s="76">
        <v>225045359</v>
      </c>
      <c r="C57" s="81">
        <v>7.8</v>
      </c>
      <c r="D57" s="81"/>
      <c r="E57" s="80"/>
      <c r="F57" s="81">
        <v>12</v>
      </c>
      <c r="G57" s="82">
        <f t="shared" si="1"/>
        <v>10.153846153846153</v>
      </c>
      <c r="H57" s="80">
        <v>23.3</v>
      </c>
      <c r="I57" s="82">
        <f t="shared" si="2"/>
        <v>33.453846153846158</v>
      </c>
      <c r="J57" s="77"/>
      <c r="K57" s="79"/>
      <c r="L57" s="77"/>
    </row>
    <row r="58" spans="1:12" ht="20.25">
      <c r="A58" s="85">
        <f t="shared" si="0"/>
        <v>50</v>
      </c>
      <c r="B58" s="76">
        <v>225043452</v>
      </c>
      <c r="C58" s="81">
        <v>8.6</v>
      </c>
      <c r="D58" s="81">
        <v>11</v>
      </c>
      <c r="E58" s="80">
        <v>4.5</v>
      </c>
      <c r="F58" s="81">
        <v>11</v>
      </c>
      <c r="G58" s="82">
        <f t="shared" si="1"/>
        <v>18</v>
      </c>
      <c r="H58" s="80">
        <v>22</v>
      </c>
      <c r="I58" s="82">
        <f t="shared" si="2"/>
        <v>40</v>
      </c>
      <c r="J58" s="77"/>
      <c r="K58" s="79"/>
      <c r="L58" s="77"/>
    </row>
    <row r="59" spans="1:12" ht="20.25">
      <c r="A59" s="85">
        <f t="shared" si="0"/>
        <v>51</v>
      </c>
      <c r="B59" s="76">
        <v>225036380</v>
      </c>
      <c r="C59" s="81">
        <v>7.5</v>
      </c>
      <c r="D59" s="81">
        <v>11</v>
      </c>
      <c r="E59" s="80">
        <v>4.5</v>
      </c>
      <c r="F59" s="81">
        <v>11</v>
      </c>
      <c r="G59" s="82">
        <f t="shared" si="1"/>
        <v>17.435897435897434</v>
      </c>
      <c r="H59" s="80">
        <v>14.5</v>
      </c>
      <c r="I59" s="82">
        <f t="shared" si="2"/>
        <v>31.935897435897434</v>
      </c>
      <c r="J59" s="77"/>
      <c r="K59" s="79"/>
      <c r="L59" s="77"/>
    </row>
    <row r="60" spans="1:12" ht="20.25">
      <c r="A60" s="85">
        <f t="shared" si="0"/>
        <v>52</v>
      </c>
      <c r="B60" s="76">
        <v>225041181</v>
      </c>
      <c r="C60" s="81">
        <v>8.3000000000000007</v>
      </c>
      <c r="D60" s="81">
        <v>11</v>
      </c>
      <c r="E60" s="80">
        <v>4.5</v>
      </c>
      <c r="F60" s="81">
        <v>11</v>
      </c>
      <c r="G60" s="82">
        <f t="shared" si="1"/>
        <v>17.846153846153847</v>
      </c>
      <c r="H60" s="80">
        <v>21</v>
      </c>
      <c r="I60" s="82">
        <f t="shared" si="2"/>
        <v>38.846153846153847</v>
      </c>
      <c r="J60" s="77"/>
      <c r="K60" s="79"/>
      <c r="L60" s="77"/>
    </row>
    <row r="61" spans="1:12" ht="20.25">
      <c r="A61" s="85">
        <f t="shared" si="0"/>
        <v>53</v>
      </c>
      <c r="B61" s="76">
        <v>225033615</v>
      </c>
      <c r="C61" s="81">
        <v>7.8</v>
      </c>
      <c r="D61" s="81">
        <v>9</v>
      </c>
      <c r="E61" s="80">
        <v>4</v>
      </c>
      <c r="F61" s="81">
        <v>11</v>
      </c>
      <c r="G61" s="82">
        <f t="shared" si="1"/>
        <v>16.307692307692307</v>
      </c>
      <c r="H61" s="80">
        <v>24</v>
      </c>
      <c r="I61" s="82">
        <f t="shared" si="2"/>
        <v>40.307692307692307</v>
      </c>
      <c r="J61" s="77"/>
      <c r="K61" s="79"/>
      <c r="L61" s="77"/>
    </row>
    <row r="62" spans="1:12" ht="20.25">
      <c r="A62" s="85">
        <f t="shared" si="0"/>
        <v>54</v>
      </c>
      <c r="B62" s="76">
        <v>225032946</v>
      </c>
      <c r="C62" s="81">
        <v>7.8</v>
      </c>
      <c r="D62" s="81">
        <v>11</v>
      </c>
      <c r="E62" s="80">
        <v>5</v>
      </c>
      <c r="F62" s="81">
        <v>11</v>
      </c>
      <c r="G62" s="82">
        <f t="shared" si="1"/>
        <v>17.846153846153847</v>
      </c>
      <c r="H62" s="80">
        <v>21.8</v>
      </c>
      <c r="I62" s="82">
        <f t="shared" si="2"/>
        <v>39.646153846153851</v>
      </c>
      <c r="J62" s="77"/>
      <c r="K62" s="79"/>
      <c r="L62" s="77"/>
    </row>
    <row r="63" spans="1:12" ht="20.25">
      <c r="A63" s="85">
        <f t="shared" si="0"/>
        <v>55</v>
      </c>
      <c r="B63" s="76">
        <v>225039978</v>
      </c>
      <c r="C63" s="81">
        <v>8</v>
      </c>
      <c r="D63" s="81">
        <v>11</v>
      </c>
      <c r="E63" s="80">
        <v>4.5</v>
      </c>
      <c r="F63" s="81">
        <v>12</v>
      </c>
      <c r="G63" s="82">
        <f t="shared" si="1"/>
        <v>18.205128205128204</v>
      </c>
      <c r="H63" s="80">
        <v>26</v>
      </c>
      <c r="I63" s="82">
        <f t="shared" si="2"/>
        <v>44.205128205128204</v>
      </c>
      <c r="J63" s="77"/>
      <c r="K63" s="79"/>
      <c r="L63" s="77"/>
    </row>
    <row r="64" spans="1:12" ht="20.25">
      <c r="A64" s="85">
        <f t="shared" si="0"/>
        <v>56</v>
      </c>
      <c r="B64" s="76">
        <v>225032165</v>
      </c>
      <c r="C64" s="81">
        <v>8.1999999999999993</v>
      </c>
      <c r="D64" s="81">
        <v>11</v>
      </c>
      <c r="E64" s="80">
        <v>5</v>
      </c>
      <c r="F64" s="81">
        <v>11</v>
      </c>
      <c r="G64" s="82">
        <f t="shared" si="1"/>
        <v>18.051282051282051</v>
      </c>
      <c r="H64" s="80">
        <v>22</v>
      </c>
      <c r="I64" s="82">
        <f t="shared" si="2"/>
        <v>40.051282051282051</v>
      </c>
      <c r="J64" s="77"/>
      <c r="K64" s="77"/>
      <c r="L64" s="77"/>
    </row>
    <row r="65" spans="1:12" ht="20.25">
      <c r="A65" s="85">
        <f t="shared" si="0"/>
        <v>57</v>
      </c>
      <c r="B65" s="76">
        <v>225032016</v>
      </c>
      <c r="C65" s="81">
        <v>8</v>
      </c>
      <c r="D65" s="81">
        <v>10</v>
      </c>
      <c r="E65" s="80">
        <v>4.5</v>
      </c>
      <c r="F65" s="81">
        <v>8</v>
      </c>
      <c r="G65" s="82">
        <f t="shared" si="1"/>
        <v>15.641025641025641</v>
      </c>
      <c r="H65" s="80">
        <v>22</v>
      </c>
      <c r="I65" s="82">
        <f t="shared" si="2"/>
        <v>37.641025641025642</v>
      </c>
      <c r="J65" s="77"/>
      <c r="K65" s="77"/>
      <c r="L65" s="77"/>
    </row>
    <row r="66" spans="1:12" ht="20.25">
      <c r="A66" s="85">
        <f t="shared" si="0"/>
        <v>58</v>
      </c>
      <c r="B66" s="76">
        <v>225031794</v>
      </c>
      <c r="C66" s="81">
        <v>7.8</v>
      </c>
      <c r="D66" s="81">
        <v>11</v>
      </c>
      <c r="E66" s="80">
        <v>5</v>
      </c>
      <c r="F66" s="81">
        <v>11</v>
      </c>
      <c r="G66" s="82">
        <f t="shared" si="1"/>
        <v>17.846153846153847</v>
      </c>
      <c r="H66" s="80">
        <v>20</v>
      </c>
      <c r="I66" s="82">
        <f t="shared" si="2"/>
        <v>37.846153846153847</v>
      </c>
      <c r="J66" s="77"/>
      <c r="K66" s="77"/>
      <c r="L66" s="77"/>
    </row>
    <row r="67" spans="1:12" ht="20.25">
      <c r="A67" s="85">
        <f t="shared" si="0"/>
        <v>59</v>
      </c>
      <c r="B67" s="76">
        <v>225032223</v>
      </c>
      <c r="C67" s="81">
        <v>7.9</v>
      </c>
      <c r="D67" s="81">
        <v>11</v>
      </c>
      <c r="E67" s="80">
        <v>4</v>
      </c>
      <c r="F67" s="81">
        <v>8</v>
      </c>
      <c r="G67" s="82">
        <f t="shared" si="1"/>
        <v>15.846153846153847</v>
      </c>
      <c r="H67" s="80">
        <v>21.3</v>
      </c>
      <c r="I67" s="82">
        <f t="shared" si="2"/>
        <v>37.146153846153851</v>
      </c>
      <c r="J67" s="77"/>
      <c r="K67" s="77"/>
      <c r="L67" s="77"/>
    </row>
    <row r="68" spans="1:12" ht="20.25">
      <c r="A68" s="85">
        <f t="shared" si="0"/>
        <v>60</v>
      </c>
      <c r="B68" s="76">
        <v>225031550</v>
      </c>
      <c r="C68" s="81">
        <v>8</v>
      </c>
      <c r="D68" s="81"/>
      <c r="E68" s="80"/>
      <c r="F68" s="81"/>
      <c r="G68" s="82">
        <f t="shared" si="1"/>
        <v>4.1025641025641022</v>
      </c>
      <c r="H68" s="80">
        <v>27</v>
      </c>
      <c r="I68" s="82">
        <f t="shared" si="2"/>
        <v>31.102564102564102</v>
      </c>
      <c r="J68" s="77"/>
      <c r="K68" s="77"/>
      <c r="L68" s="77"/>
    </row>
    <row r="69" spans="1:12" ht="20.25">
      <c r="A69" s="85">
        <f t="shared" si="0"/>
        <v>61</v>
      </c>
      <c r="B69" s="76">
        <v>225031064</v>
      </c>
      <c r="C69" s="81">
        <v>8.3000000000000007</v>
      </c>
      <c r="D69" s="81">
        <v>11</v>
      </c>
      <c r="E69" s="80">
        <v>4.5</v>
      </c>
      <c r="F69" s="81">
        <v>11</v>
      </c>
      <c r="G69" s="82">
        <f t="shared" si="1"/>
        <v>17.846153846153847</v>
      </c>
      <c r="H69" s="80">
        <v>23</v>
      </c>
      <c r="I69" s="82">
        <f t="shared" si="2"/>
        <v>40.846153846153847</v>
      </c>
      <c r="J69" s="77"/>
      <c r="K69" s="77"/>
      <c r="L69" s="77"/>
    </row>
    <row r="70" spans="1:12" ht="20.25">
      <c r="A70" s="85">
        <f t="shared" si="0"/>
        <v>62</v>
      </c>
      <c r="B70" s="76">
        <v>225028760</v>
      </c>
      <c r="C70" s="81">
        <v>8</v>
      </c>
      <c r="D70" s="81">
        <v>11</v>
      </c>
      <c r="E70" s="80">
        <v>0</v>
      </c>
      <c r="F70" s="81">
        <v>8</v>
      </c>
      <c r="G70" s="82">
        <f t="shared" si="1"/>
        <v>13.846153846153847</v>
      </c>
      <c r="H70" s="80">
        <v>20</v>
      </c>
      <c r="I70" s="82">
        <f t="shared" si="2"/>
        <v>33.846153846153847</v>
      </c>
      <c r="J70" s="77"/>
      <c r="K70" s="77"/>
      <c r="L70" s="77"/>
    </row>
    <row r="71" spans="1:12" ht="20.25">
      <c r="A71" s="85">
        <f t="shared" si="0"/>
        <v>63</v>
      </c>
      <c r="B71" s="76">
        <v>225029152</v>
      </c>
      <c r="C71" s="81">
        <v>7.8</v>
      </c>
      <c r="D71" s="81">
        <v>11</v>
      </c>
      <c r="E71" s="80">
        <v>5</v>
      </c>
      <c r="F71" s="81">
        <v>11</v>
      </c>
      <c r="G71" s="82">
        <f t="shared" si="1"/>
        <v>17.846153846153847</v>
      </c>
      <c r="H71" s="80">
        <v>19</v>
      </c>
      <c r="I71" s="82">
        <f t="shared" si="2"/>
        <v>36.846153846153847</v>
      </c>
      <c r="J71" s="77"/>
      <c r="K71" s="77"/>
      <c r="L71" s="77"/>
    </row>
    <row r="72" spans="1:12" ht="20.25">
      <c r="A72" s="85">
        <f t="shared" si="0"/>
        <v>64</v>
      </c>
      <c r="B72" s="76">
        <v>225030699</v>
      </c>
      <c r="C72" s="81">
        <v>7.8</v>
      </c>
      <c r="D72" s="81">
        <v>10</v>
      </c>
      <c r="E72" s="80">
        <v>4</v>
      </c>
      <c r="F72" s="81">
        <v>11</v>
      </c>
      <c r="G72" s="82">
        <f t="shared" si="1"/>
        <v>16.820512820512821</v>
      </c>
      <c r="H72" s="80">
        <v>24</v>
      </c>
      <c r="I72" s="82">
        <f t="shared" si="2"/>
        <v>40.820512820512818</v>
      </c>
      <c r="J72" s="77"/>
      <c r="K72" s="77"/>
      <c r="L72" s="77"/>
    </row>
    <row r="73" spans="1:12" ht="20.25">
      <c r="A73" s="85">
        <f t="shared" si="0"/>
        <v>65</v>
      </c>
      <c r="B73" s="76">
        <v>225031462</v>
      </c>
      <c r="C73" s="81">
        <v>7.7</v>
      </c>
      <c r="D73" s="81">
        <v>10</v>
      </c>
      <c r="E73" s="80">
        <v>4</v>
      </c>
      <c r="F73" s="81">
        <v>11</v>
      </c>
      <c r="G73" s="82">
        <f t="shared" si="1"/>
        <v>16.76923076923077</v>
      </c>
      <c r="H73" s="80">
        <v>20</v>
      </c>
      <c r="I73" s="82">
        <f t="shared" si="2"/>
        <v>36.769230769230774</v>
      </c>
    </row>
    <row r="74" spans="1:12" ht="20.25">
      <c r="A74" s="85">
        <f t="shared" si="0"/>
        <v>66</v>
      </c>
      <c r="B74" s="76">
        <v>225054717</v>
      </c>
      <c r="C74" s="81">
        <v>7.3</v>
      </c>
      <c r="D74" s="81">
        <v>11</v>
      </c>
      <c r="E74" s="80">
        <v>5</v>
      </c>
      <c r="F74" s="81">
        <v>10</v>
      </c>
      <c r="G74" s="82">
        <f t="shared" ref="G74" si="3">(F74+E74+D74+C74)*20/39</f>
        <v>17.076923076923077</v>
      </c>
      <c r="H74" s="80">
        <v>23.5</v>
      </c>
      <c r="I74" s="82">
        <f t="shared" ref="I74" si="4">G74+H74</f>
        <v>40.57692307692308</v>
      </c>
    </row>
  </sheetData>
  <conditionalFormatting sqref="H9 H11:H12 H14:H65">
    <cfRule type="cellIs" dxfId="1" priority="2" stopIfTrue="1" operator="lessThan">
      <formula>10</formula>
    </cfRule>
  </conditionalFormatting>
  <conditionalFormatting sqref="B9:B65">
    <cfRule type="duplicateValues" dxfId="0" priority="3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ARCH 1</vt:lpstr>
      <vt:lpstr>CoE 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2026-07-17T15:11:08Z</dcterms:created>
  <dcterms:modified xsi:type="dcterms:W3CDTF">2026-07-20T14:09:58Z</dcterms:modified>
</cp:coreProperties>
</file>